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older TOP\DANAGUNG BPR\DOC Dari DEv\Calculator scorring\"/>
    </mc:Choice>
  </mc:AlternateContent>
  <xr:revisionPtr revIDLastSave="0" documentId="13_ncr:1_{28851C7C-E8D9-4A38-B66B-C349C6B6DDB4}" xr6:coauthVersionLast="47" xr6:coauthVersionMax="47" xr10:uidLastSave="{00000000-0000-0000-0000-000000000000}"/>
  <bookViews>
    <workbookView xWindow="-110" yWindow="-110" windowWidth="19420" windowHeight="10560" activeTab="1" xr2:uid="{0ADE44BB-8363-3A41-9694-100E7521441C}"/>
  </bookViews>
  <sheets>
    <sheet name="DATA SCORE" sheetId="2" r:id="rId1"/>
    <sheet name="HITUNG SCORE" sheetId="4" r:id="rId2"/>
  </sheets>
  <definedNames>
    <definedName name="ExternalData_1" localSheetId="0" hidden="1">'DATA SCORE'!$A$1:$J$170</definedName>
    <definedName name="ExternalData_1" localSheetId="1" hidden="1">'HITUNG SCORE'!$A$1:$G$90</definedName>
    <definedName name="ExternalData_2" localSheetId="1" hidden="1">'HITUNG SCORE'!$I$1:$L$18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4" l="1"/>
  <c r="G89" i="4"/>
  <c r="G90" i="4"/>
  <c r="G81" i="4"/>
  <c r="G82" i="4"/>
  <c r="G83" i="4"/>
  <c r="G84" i="4"/>
  <c r="G85" i="4"/>
  <c r="G86" i="4"/>
  <c r="G87" i="4"/>
  <c r="G88" i="4"/>
  <c r="G65" i="4"/>
  <c r="G66" i="4"/>
  <c r="G67" i="4"/>
  <c r="G68" i="4"/>
  <c r="G69" i="4"/>
  <c r="M14" i="4" s="1"/>
  <c r="N14" i="4" s="1"/>
  <c r="G70" i="4"/>
  <c r="G71" i="4"/>
  <c r="G72" i="4"/>
  <c r="G73" i="4"/>
  <c r="G74" i="4"/>
  <c r="G75" i="4"/>
  <c r="G76" i="4"/>
  <c r="G77" i="4"/>
  <c r="G78" i="4"/>
  <c r="G79" i="4"/>
  <c r="G80" i="4"/>
  <c r="G49" i="4"/>
  <c r="G50" i="4"/>
  <c r="G51" i="4"/>
  <c r="G52" i="4"/>
  <c r="G53" i="4"/>
  <c r="G54" i="4"/>
  <c r="G55" i="4"/>
  <c r="G56" i="4"/>
  <c r="G57" i="4"/>
  <c r="G58" i="4"/>
  <c r="G59" i="4"/>
  <c r="G60" i="4"/>
  <c r="M13" i="4" s="1"/>
  <c r="N13" i="4" s="1"/>
  <c r="G61" i="4"/>
  <c r="G62" i="4"/>
  <c r="G63" i="4"/>
  <c r="G64" i="4"/>
  <c r="G40" i="4"/>
  <c r="G41" i="4"/>
  <c r="G42" i="4"/>
  <c r="G43" i="4"/>
  <c r="G44" i="4"/>
  <c r="G45" i="4"/>
  <c r="G46" i="4"/>
  <c r="G47" i="4"/>
  <c r="G48" i="4"/>
  <c r="G32" i="4"/>
  <c r="G33" i="4"/>
  <c r="G34" i="4"/>
  <c r="G35" i="4"/>
  <c r="G36" i="4"/>
  <c r="G37" i="4"/>
  <c r="G38" i="4"/>
  <c r="G39" i="4"/>
  <c r="G24" i="4"/>
  <c r="G25" i="4"/>
  <c r="G26" i="4"/>
  <c r="G27" i="4"/>
  <c r="G28" i="4"/>
  <c r="G29" i="4"/>
  <c r="G30" i="4"/>
  <c r="G31" i="4"/>
  <c r="G14" i="4"/>
  <c r="G15" i="4"/>
  <c r="G16" i="4"/>
  <c r="G17" i="4"/>
  <c r="G18" i="4"/>
  <c r="G19" i="4"/>
  <c r="G20" i="4"/>
  <c r="G21" i="4"/>
  <c r="G22" i="4"/>
  <c r="G23" i="4"/>
  <c r="G3" i="4"/>
  <c r="G4" i="4"/>
  <c r="G5" i="4"/>
  <c r="G6" i="4"/>
  <c r="G7" i="4"/>
  <c r="G8" i="4"/>
  <c r="G9" i="4"/>
  <c r="G10" i="4"/>
  <c r="G11" i="4"/>
  <c r="G12" i="4"/>
  <c r="G13" i="4"/>
  <c r="G2" i="4"/>
  <c r="M4" i="4"/>
  <c r="N4" i="4" s="1"/>
  <c r="M10" i="4" l="1"/>
  <c r="N10" i="4" s="1"/>
  <c r="M11" i="4"/>
  <c r="N11" i="4" s="1"/>
  <c r="M2" i="4"/>
  <c r="N2" i="4" s="1"/>
  <c r="M7" i="4"/>
  <c r="N7" i="4" s="1"/>
  <c r="M15" i="4"/>
  <c r="N15" i="4" s="1"/>
  <c r="M9" i="4"/>
  <c r="N9" i="4" s="1"/>
  <c r="M8" i="4"/>
  <c r="N8" i="4" s="1"/>
  <c r="N3" i="4"/>
  <c r="M5" i="4"/>
  <c r="N5" i="4" s="1"/>
  <c r="M16" i="4"/>
  <c r="N16" i="4" s="1"/>
  <c r="M17" i="4"/>
  <c r="N17" i="4" s="1"/>
  <c r="N18" i="4" l="1"/>
  <c r="N12" i="4"/>
  <c r="N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5666AA-52B2-4E44-BE23-73D76114CDBA}" keepAlive="1" name="Query - master score" description="Connection to the 'master score' query in the workbook." type="5" refreshedVersion="8" background="1" saveData="1">
    <dbPr connection="Provider=Microsoft.Mashup.OleDb.1;Data Source=$Workbook$;Location=&quot;master score&quot;;Extended Properties=&quot;&quot;" command="SELECT * FROM [master score]"/>
  </connection>
  <connection id="2" xr16:uid="{77DF664D-783D-E047-82BC-1E501EA090B1}" keepAlive="1" name="Query - master score bobot" description="Connection to the 'master score bobot' query in the workbook." type="5" refreshedVersion="0" background="1">
    <dbPr connection="Provider=Microsoft.Mashup.OleDb.1;Data Source=$Workbook$;Location=&quot;master score bobot&quot;;Extended Properties=&quot;&quot;" command="SELECT * FROM [master score bobot]"/>
  </connection>
  <connection id="3" xr16:uid="{63620E65-F9D5-2844-BD16-DF55D63B9CD6}" keepAlive="1" name="Query - master score bobot (2)" description="Connection to the 'master score bobot (2)' query in the workbook." type="5" refreshedVersion="8" background="1" saveData="1">
    <dbPr connection="Provider=Microsoft.Mashup.OleDb.1;Data Source=$Workbook$;Location=&quot;master score bobot (2)&quot;;Extended Properties=&quot;&quot;" command="SELECT * FROM [master score bobot (2)]"/>
  </connection>
  <connection id="4" xr16:uid="{78AB1B40-7162-DB4C-8636-951689A6F85A}" keepAlive="1" name="Query - master score grup bobot" description="Connection to the 'master score grup bobot' query in the workbook." type="5" refreshedVersion="8" background="1" saveData="1">
    <dbPr connection="Provider=Microsoft.Mashup.OleDb.1;Data Source=$Workbook$;Location=&quot;master score grup bobot&quot;;Extended Properties=&quot;&quot;" command="SELECT * FROM [master score grup bobot]"/>
  </connection>
</connections>
</file>

<file path=xl/sharedStrings.xml><?xml version="1.0" encoding="utf-8"?>
<sst xmlns="http://schemas.openxmlformats.org/spreadsheetml/2006/main" count="1438" uniqueCount="396">
  <si>
    <t>_id</t>
  </si>
  <si>
    <t>weight_value_id</t>
  </si>
  <si>
    <t>score_type</t>
  </si>
  <si>
    <t>range_min</t>
  </si>
  <si>
    <t>range_max</t>
  </si>
  <si>
    <t>point</t>
  </si>
  <si>
    <t>description</t>
  </si>
  <si>
    <t>group</t>
  </si>
  <si>
    <t>status</t>
  </si>
  <si>
    <t>reff_id</t>
  </si>
  <si>
    <t>S0026</t>
  </si>
  <si>
    <t>capa</t>
  </si>
  <si>
    <t>capacity</t>
  </si>
  <si>
    <t>60% &lt; 70%</t>
  </si>
  <si>
    <t>idir</t>
  </si>
  <si>
    <t/>
  </si>
  <si>
    <t>S0027</t>
  </si>
  <si>
    <t>50% - &lt; 60%</t>
  </si>
  <si>
    <t>S0024</t>
  </si>
  <si>
    <t>&gt; 80%</t>
  </si>
  <si>
    <t>S0028</t>
  </si>
  <si>
    <t>&lt; 50%</t>
  </si>
  <si>
    <t>S0025</t>
  </si>
  <si>
    <t>70% - 80%</t>
  </si>
  <si>
    <t>S0081</t>
  </si>
  <si>
    <t>&lt; 30%</t>
  </si>
  <si>
    <t>dsr</t>
  </si>
  <si>
    <t>S0090</t>
  </si>
  <si>
    <t>31% - 40%</t>
  </si>
  <si>
    <t>S0091</t>
  </si>
  <si>
    <t>41% - 50%</t>
  </si>
  <si>
    <t>S0092</t>
  </si>
  <si>
    <t>51% - 60%</t>
  </si>
  <si>
    <t>S0093</t>
  </si>
  <si>
    <t>61% - 70%</t>
  </si>
  <si>
    <t>S0040</t>
  </si>
  <si>
    <t>&lt; 1 Tahun</t>
  </si>
  <si>
    <t>lama_kerja</t>
  </si>
  <si>
    <t>S0041</t>
  </si>
  <si>
    <t>1 - 2 Tahun</t>
  </si>
  <si>
    <t>S0042</t>
  </si>
  <si>
    <t>&gt; 2 Tahun</t>
  </si>
  <si>
    <t>S0074</t>
  </si>
  <si>
    <t>Cerai Hidup</t>
  </si>
  <si>
    <t>status_perkawinan</t>
  </si>
  <si>
    <t>S0075</t>
  </si>
  <si>
    <t>Cerai Mati</t>
  </si>
  <si>
    <t>S0076</t>
  </si>
  <si>
    <t>Kawin</t>
  </si>
  <si>
    <t>S0077</t>
  </si>
  <si>
    <t>Belum Kawin</t>
  </si>
  <si>
    <t>S0062</t>
  </si>
  <si>
    <t>&gt; 2200 VA</t>
  </si>
  <si>
    <t>daya_listrik</t>
  </si>
  <si>
    <t>S0063</t>
  </si>
  <si>
    <t>2200 VA</t>
  </si>
  <si>
    <t>S0064</t>
  </si>
  <si>
    <t>1300 VA</t>
  </si>
  <si>
    <t>S0065</t>
  </si>
  <si>
    <t>900 VA</t>
  </si>
  <si>
    <t>S0066</t>
  </si>
  <si>
    <t>450 VA</t>
  </si>
  <si>
    <t>S0070</t>
  </si>
  <si>
    <t>&gt; 51 Tahun</t>
  </si>
  <si>
    <t>usia</t>
  </si>
  <si>
    <t>S0071</t>
  </si>
  <si>
    <t>41-50 Tahun</t>
  </si>
  <si>
    <t>S0072</t>
  </si>
  <si>
    <t>31-40 Tahun</t>
  </si>
  <si>
    <t>S0073</t>
  </si>
  <si>
    <t>26-30 Tahun</t>
  </si>
  <si>
    <t>S0094</t>
  </si>
  <si>
    <t>&lt; 25 Tahun</t>
  </si>
  <si>
    <t>S0051</t>
  </si>
  <si>
    <t xml:space="preserve">18 - 24 </t>
  </si>
  <si>
    <t>tenor</t>
  </si>
  <si>
    <t>S0052</t>
  </si>
  <si>
    <t xml:space="preserve">30 - 36 </t>
  </si>
  <si>
    <t>S0055</t>
  </si>
  <si>
    <t xml:space="preserve">66 - 72 </t>
  </si>
  <si>
    <t>S0056</t>
  </si>
  <si>
    <t xml:space="preserve">78 - 84 </t>
  </si>
  <si>
    <t>S0050</t>
  </si>
  <si>
    <t>6 - 12</t>
  </si>
  <si>
    <t>S0053</t>
  </si>
  <si>
    <t>42 - 48</t>
  </si>
  <si>
    <t>S0054</t>
  </si>
  <si>
    <t xml:space="preserve">54 - 60 </t>
  </si>
  <si>
    <t>S0095</t>
  </si>
  <si>
    <t>&lt; Rp 2,5 juta</t>
  </si>
  <si>
    <t>jlh_penghasilan</t>
  </si>
  <si>
    <t>S0096</t>
  </si>
  <si>
    <t>&gt; 2,5 – 5 juta</t>
  </si>
  <si>
    <t>S0097</t>
  </si>
  <si>
    <t>&gt; 5 – 10 juta</t>
  </si>
  <si>
    <t>S0098</t>
  </si>
  <si>
    <t>&gt; 10 – 15 juta</t>
  </si>
  <si>
    <t>S0099</t>
  </si>
  <si>
    <t>Lebih dari 15 juta</t>
  </si>
  <si>
    <t>S0100</t>
  </si>
  <si>
    <t>Tak Tentu</t>
  </si>
  <si>
    <t>periode_penghasilan</t>
  </si>
  <si>
    <t>S0101</t>
  </si>
  <si>
    <t>Harian</t>
  </si>
  <si>
    <t>S0102</t>
  </si>
  <si>
    <t>Mingguan</t>
  </si>
  <si>
    <t>S0103</t>
  </si>
  <si>
    <t>2 Mingguan</t>
  </si>
  <si>
    <t>S0104</t>
  </si>
  <si>
    <t>Bulanan</t>
  </si>
  <si>
    <t>S0001</t>
  </si>
  <si>
    <t>char</t>
  </si>
  <si>
    <t>character</t>
  </si>
  <si>
    <t>Renovasi Rumah</t>
  </si>
  <si>
    <t>tujuan_pinjaman</t>
  </si>
  <si>
    <t>S0002</t>
  </si>
  <si>
    <t>Biaya Liburan / Perjalanan</t>
  </si>
  <si>
    <t>S0005</t>
  </si>
  <si>
    <t>Biaya Kesehatan</t>
  </si>
  <si>
    <t>S0007</t>
  </si>
  <si>
    <t>Biaya Pernikahan</t>
  </si>
  <si>
    <t>S0009</t>
  </si>
  <si>
    <t>Modal Kerja</t>
  </si>
  <si>
    <t>S0003</t>
  </si>
  <si>
    <t>Pembelian Barang Elektronik</t>
  </si>
  <si>
    <t>S0010</t>
  </si>
  <si>
    <t>Modal Usaha</t>
  </si>
  <si>
    <t>S0004</t>
  </si>
  <si>
    <t>Pembelian Kendaraan</t>
  </si>
  <si>
    <t>S0012</t>
  </si>
  <si>
    <t>Biaya Pendidikan</t>
  </si>
  <si>
    <t>S0006</t>
  </si>
  <si>
    <t>Membayar Hutang</t>
  </si>
  <si>
    <t>S0008</t>
  </si>
  <si>
    <t>Keperluan Pribadi Lainnya</t>
  </si>
  <si>
    <t>S0011</t>
  </si>
  <si>
    <t>Investasi</t>
  </si>
  <si>
    <t>S0022</t>
  </si>
  <si>
    <t>KOL 4 Tanpa Agunan</t>
  </si>
  <si>
    <t>tanpa_agunan</t>
  </si>
  <si>
    <t>S0023</t>
  </si>
  <si>
    <t>KOL 5 Tanpa Agunan</t>
  </si>
  <si>
    <t>S0013</t>
  </si>
  <si>
    <t>KOL 1 Agunan</t>
  </si>
  <si>
    <t>dengan_agunan</t>
  </si>
  <si>
    <t>S0015</t>
  </si>
  <si>
    <t>KOL 3 Agunan</t>
  </si>
  <si>
    <t>S0020</t>
  </si>
  <si>
    <t>KOL 2 Tanpa Agunan</t>
  </si>
  <si>
    <t>S0016</t>
  </si>
  <si>
    <t>KOL 4 Agunan</t>
  </si>
  <si>
    <t>S0018</t>
  </si>
  <si>
    <t>NO DIN</t>
  </si>
  <si>
    <t>debitur_baru</t>
  </si>
  <si>
    <t>S0021</t>
  </si>
  <si>
    <t>KOL 3 Tanpa Agunan</t>
  </si>
  <si>
    <t>S0014</t>
  </si>
  <si>
    <t>KOL 2 Agunan</t>
  </si>
  <si>
    <t>S0017</t>
  </si>
  <si>
    <t>KOL 5 Agunan</t>
  </si>
  <si>
    <t>S0019</t>
  </si>
  <si>
    <t>KOL 1 Tanpa Agunan</t>
  </si>
  <si>
    <t>S0078</t>
  </si>
  <si>
    <t>5-10 Tahun</t>
  </si>
  <si>
    <t>lama_tinggal</t>
  </si>
  <si>
    <t>S0079</t>
  </si>
  <si>
    <t>1-5 Tahun</t>
  </si>
  <si>
    <t>S0080</t>
  </si>
  <si>
    <t>&lt;1 Tahun</t>
  </si>
  <si>
    <t>S0105</t>
  </si>
  <si>
    <t>&lt; 1 thn</t>
  </si>
  <si>
    <t>kepemilikan_no_hp</t>
  </si>
  <si>
    <t>S0106</t>
  </si>
  <si>
    <t>1-3 thn</t>
  </si>
  <si>
    <t>S0107</t>
  </si>
  <si>
    <t>3-5 thn</t>
  </si>
  <si>
    <t>S0108</t>
  </si>
  <si>
    <t>&gt; 5 thn</t>
  </si>
  <si>
    <t>S0109</t>
  </si>
  <si>
    <t>Asuransi kesehatan rawat inap (non BPJS)</t>
  </si>
  <si>
    <t>asuransi_kesehatan</t>
  </si>
  <si>
    <t>S0110</t>
  </si>
  <si>
    <t>Asuransi kesehatan rawat inap &amp; jalan (non BPJS)</t>
  </si>
  <si>
    <t>S0111</t>
  </si>
  <si>
    <t>BPJS dari perusahaan tempat kerja</t>
  </si>
  <si>
    <t>S0112</t>
  </si>
  <si>
    <t>BPJS Mandiri</t>
  </si>
  <si>
    <t>S0113</t>
  </si>
  <si>
    <t>Tidak punya Asuransi</t>
  </si>
  <si>
    <t>S0114</t>
  </si>
  <si>
    <t>Nasabah Penyelenggara</t>
  </si>
  <si>
    <t>hubungan_bank</t>
  </si>
  <si>
    <t>S0115</t>
  </si>
  <si>
    <t>Nasabah di Bank Lain</t>
  </si>
  <si>
    <t>S0116</t>
  </si>
  <si>
    <t>Nasabah Penyelenggara Dan Bank Lain</t>
  </si>
  <si>
    <t>S0117</t>
  </si>
  <si>
    <t>Belum Pernah</t>
  </si>
  <si>
    <t>S0118</t>
  </si>
  <si>
    <t>&gt; 75 %</t>
  </si>
  <si>
    <t>sisa_hutang</t>
  </si>
  <si>
    <t>S0119</t>
  </si>
  <si>
    <t>50 % - 75 %</t>
  </si>
  <si>
    <t>S0120</t>
  </si>
  <si>
    <t>25 % - 49 %</t>
  </si>
  <si>
    <t>S0121</t>
  </si>
  <si>
    <t>0 % - 25 %</t>
  </si>
  <si>
    <t>S0122</t>
  </si>
  <si>
    <t>Belum pernah punya hutang</t>
  </si>
  <si>
    <t>S0123</t>
  </si>
  <si>
    <t>Ada, Plafond &gt; Rp 10.000.000,-</t>
  </si>
  <si>
    <t>kartu_kredit</t>
  </si>
  <si>
    <t>S0124</t>
  </si>
  <si>
    <t>Ada, Plafond &lt; Rp 10.000.000,-</t>
  </si>
  <si>
    <t>S0125</t>
  </si>
  <si>
    <t>Tidak ada</t>
  </si>
  <si>
    <t>S0126</t>
  </si>
  <si>
    <t>bayar_telepon</t>
  </si>
  <si>
    <t>S0127</t>
  </si>
  <si>
    <t>&lt; 150 ribu</t>
  </si>
  <si>
    <t>S0128</t>
  </si>
  <si>
    <t>150 – 500 ribu</t>
  </si>
  <si>
    <t>S0129</t>
  </si>
  <si>
    <t>500 – 1 juta</t>
  </si>
  <si>
    <t>S0130</t>
  </si>
  <si>
    <t>&gt; 1 juta</t>
  </si>
  <si>
    <t>S0131</t>
  </si>
  <si>
    <t>bayar_listrik</t>
  </si>
  <si>
    <t>S0132</t>
  </si>
  <si>
    <t>S0133</t>
  </si>
  <si>
    <t>S0134</t>
  </si>
  <si>
    <t>S0135</t>
  </si>
  <si>
    <t>S0029</t>
  </si>
  <si>
    <t>coll</t>
  </si>
  <si>
    <t>collateral</t>
  </si>
  <si>
    <t>comperation_agunan</t>
  </si>
  <si>
    <t>S0032</t>
  </si>
  <si>
    <t>&gt; 60% - 70%</t>
  </si>
  <si>
    <t>S0033</t>
  </si>
  <si>
    <t>&gt; 70%</t>
  </si>
  <si>
    <t>S0030</t>
  </si>
  <si>
    <t>30% - 50%</t>
  </si>
  <si>
    <t>S0031</t>
  </si>
  <si>
    <t>50% - 60%</t>
  </si>
  <si>
    <t>S0035</t>
  </si>
  <si>
    <t>Tanah</t>
  </si>
  <si>
    <t>agunan</t>
  </si>
  <si>
    <t>TNH</t>
  </si>
  <si>
    <t>S0036</t>
  </si>
  <si>
    <t>Mobil</t>
  </si>
  <si>
    <t>MBL</t>
  </si>
  <si>
    <t>S0037</t>
  </si>
  <si>
    <t>Motor</t>
  </si>
  <si>
    <t>MTR</t>
  </si>
  <si>
    <t>S0148</t>
  </si>
  <si>
    <t>Ruko</t>
  </si>
  <si>
    <t>RKO</t>
  </si>
  <si>
    <t>S0034</t>
  </si>
  <si>
    <t>Rumah</t>
  </si>
  <si>
    <t>RMH</t>
  </si>
  <si>
    <t>S0082</t>
  </si>
  <si>
    <t>YA</t>
  </si>
  <si>
    <t>akses_jalan_roda_4</t>
  </si>
  <si>
    <t>S0083</t>
  </si>
  <si>
    <t>TIDAK</t>
  </si>
  <si>
    <t>S0084</t>
  </si>
  <si>
    <t>dalam_200m_terdapat_kuburan</t>
  </si>
  <si>
    <t>S0085</t>
  </si>
  <si>
    <t>S0086</t>
  </si>
  <si>
    <t>dalam_200m_terdapat_sungai</t>
  </si>
  <si>
    <t>S0087</t>
  </si>
  <si>
    <t>S0088</t>
  </si>
  <si>
    <t>dalam_200m_terdapat_sutet</t>
  </si>
  <si>
    <t>S0089</t>
  </si>
  <si>
    <t>S0047</t>
  </si>
  <si>
    <t>On Hand</t>
  </si>
  <si>
    <t>proses_aset</t>
  </si>
  <si>
    <t>S0057</t>
  </si>
  <si>
    <t>Take Over</t>
  </si>
  <si>
    <t>S0049</t>
  </si>
  <si>
    <t>Alamat Agunan tidak sesuai KTP</t>
  </si>
  <si>
    <t>domisili</t>
  </si>
  <si>
    <t>S0048</t>
  </si>
  <si>
    <t>Alamat Agunan sesuai KTP</t>
  </si>
  <si>
    <t>S0045</t>
  </si>
  <si>
    <t>cond</t>
  </si>
  <si>
    <t>condition</t>
  </si>
  <si>
    <t>Milik Sendiri</t>
  </si>
  <si>
    <t>kepemilikan_aset</t>
  </si>
  <si>
    <t>S0060</t>
  </si>
  <si>
    <t>Pasangan</t>
  </si>
  <si>
    <t>S0061</t>
  </si>
  <si>
    <t>Orang Lain</t>
  </si>
  <si>
    <t>S0046</t>
  </si>
  <si>
    <t>Orang Tua</t>
  </si>
  <si>
    <t>S0136</t>
  </si>
  <si>
    <t>Dosen/Guru Negeri</t>
  </si>
  <si>
    <t>pekerjaan</t>
  </si>
  <si>
    <t>S0151</t>
  </si>
  <si>
    <t>Petani/Nelayan</t>
  </si>
  <si>
    <t>S0152</t>
  </si>
  <si>
    <t>PNS</t>
  </si>
  <si>
    <t>S0153</t>
  </si>
  <si>
    <t>Belum/Tidak Bekerja</t>
  </si>
  <si>
    <t>S0154</t>
  </si>
  <si>
    <t>Pelajar/Mahasiswa</t>
  </si>
  <si>
    <t>S0155</t>
  </si>
  <si>
    <t>Akuntan</t>
  </si>
  <si>
    <t>S0156</t>
  </si>
  <si>
    <t>Pengacara/Notaris</t>
  </si>
  <si>
    <t>S0157</t>
  </si>
  <si>
    <t>Pejabat Negara</t>
  </si>
  <si>
    <t>S0158</t>
  </si>
  <si>
    <t>Pedagang</t>
  </si>
  <si>
    <t>S0159</t>
  </si>
  <si>
    <t>Pengusaha</t>
  </si>
  <si>
    <t>S0160</t>
  </si>
  <si>
    <t>Karyawan Swasta</t>
  </si>
  <si>
    <t>S0161</t>
  </si>
  <si>
    <t>Pegawai BNI</t>
  </si>
  <si>
    <t>S0162</t>
  </si>
  <si>
    <t>Profesi</t>
  </si>
  <si>
    <t>S0163</t>
  </si>
  <si>
    <t>Wiraswasta</t>
  </si>
  <si>
    <t>S0164</t>
  </si>
  <si>
    <t>Karyawan BUMN/BUMD</t>
  </si>
  <si>
    <t>S0165</t>
  </si>
  <si>
    <t>Unit Afiliasi BNI</t>
  </si>
  <si>
    <t>S0166</t>
  </si>
  <si>
    <t>Dosen/Guru Swasta</t>
  </si>
  <si>
    <t>S0167</t>
  </si>
  <si>
    <t>Ibu Rumah Tangga</t>
  </si>
  <si>
    <t>S0168</t>
  </si>
  <si>
    <t>Lain-lain</t>
  </si>
  <si>
    <t>S0169</t>
  </si>
  <si>
    <t>Karyawan/Karyawati</t>
  </si>
  <si>
    <t>S0170</t>
  </si>
  <si>
    <t>TNI/POLRI</t>
  </si>
  <si>
    <t>S0171</t>
  </si>
  <si>
    <t>Pensiun</t>
  </si>
  <si>
    <t>S0172</t>
  </si>
  <si>
    <t>Dokter</t>
  </si>
  <si>
    <t>S0137</t>
  </si>
  <si>
    <t>Kendaraan roda 4 atau lebih</t>
  </si>
  <si>
    <t>jenis_aset</t>
  </si>
  <si>
    <t>S0138</t>
  </si>
  <si>
    <t>Kendraaan Roda 3</t>
  </si>
  <si>
    <t>S0139</t>
  </si>
  <si>
    <t>Kendaraan Roda 2</t>
  </si>
  <si>
    <t>S0140</t>
  </si>
  <si>
    <t>Kendaraan Roda 4 dan 2</t>
  </si>
  <si>
    <t>S0141</t>
  </si>
  <si>
    <t>Tidak Punya</t>
  </si>
  <si>
    <t>S0142</t>
  </si>
  <si>
    <t>Lainnya</t>
  </si>
  <si>
    <t>S0067</t>
  </si>
  <si>
    <t>capi</t>
  </si>
  <si>
    <t>capital</t>
  </si>
  <si>
    <t>Milik Sendiri/Pasangan</t>
  </si>
  <si>
    <t>kepemilikan_rumah</t>
  </si>
  <si>
    <t>S0068</t>
  </si>
  <si>
    <t>Milik Keluarga</t>
  </si>
  <si>
    <t>S0069</t>
  </si>
  <si>
    <t>Kontrak/Lainnya</t>
  </si>
  <si>
    <t>S0038</t>
  </si>
  <si>
    <t>Perumahan</t>
  </si>
  <si>
    <t>perumahan</t>
  </si>
  <si>
    <t>S0039</t>
  </si>
  <si>
    <t>Non Perumahan</t>
  </si>
  <si>
    <t>S0143</t>
  </si>
  <si>
    <t>&lt; 36 m2</t>
  </si>
  <si>
    <t>tipe_rumah</t>
  </si>
  <si>
    <t>S0144</t>
  </si>
  <si>
    <t>36 – 54 m2</t>
  </si>
  <si>
    <t>S0145</t>
  </si>
  <si>
    <t>54 – 70 m2</t>
  </si>
  <si>
    <t>S0146</t>
  </si>
  <si>
    <t>70 – 100 m2</t>
  </si>
  <si>
    <t>S0147</t>
  </si>
  <si>
    <t>&gt; 100 m2</t>
  </si>
  <si>
    <t>S0149</t>
  </si>
  <si>
    <t>Jepang</t>
  </si>
  <si>
    <t>buatan_negara</t>
  </si>
  <si>
    <t>S0150</t>
  </si>
  <si>
    <t>Inggris</t>
  </si>
  <si>
    <t>S0173</t>
  </si>
  <si>
    <t>3 - 6</t>
  </si>
  <si>
    <t>id_produk</t>
  </si>
  <si>
    <t>bobot</t>
  </si>
  <si>
    <t>001</t>
  </si>
  <si>
    <t>002</t>
  </si>
  <si>
    <t>003</t>
  </si>
  <si>
    <t>poin</t>
  </si>
  <si>
    <t>total grup bobot</t>
  </si>
  <si>
    <t>Total Scoring</t>
  </si>
  <si>
    <t>total bobot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</si>
</sst>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18CEB1-9E39-234A-A0AB-E4A49A2AC7FD}" autoFormatId="16" applyNumberFormats="0" applyBorderFormats="0" applyFontFormats="0" applyPatternFormats="0" applyAlignmentFormats="0" applyWidthHeightFormats="0">
  <queryTableRefresh nextId="12">
    <queryTableFields count="10">
      <queryTableField id="1" name="_id" tableColumnId="1"/>
      <queryTableField id="2" name="weight_value_id" tableColumnId="2"/>
      <queryTableField id="3" name="score_type" tableColumnId="3"/>
      <queryTableField id="4" name="range_min" tableColumnId="4"/>
      <queryTableField id="5" name="range_max" tableColumnId="5"/>
      <queryTableField id="6" name="point" tableColumnId="6"/>
      <queryTableField id="7" name="description" tableColumnId="7"/>
      <queryTableField id="9" name="group" tableColumnId="9"/>
      <queryTableField id="10" name="status" tableColumnId="10"/>
      <queryTableField id="11" name="reff_id" tableColumnId="11"/>
    </queryTableFields>
    <queryTableDeletedFields count="1">
      <deletedField name="penalty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7FD1EC8-FC43-7F47-848E-E62FBF0D1414}" autoFormatId="16" applyNumberFormats="0" applyBorderFormats="0" applyFontFormats="0" applyPatternFormats="0" applyAlignmentFormats="0" applyWidthHeightFormats="0">
  <queryTableRefresh nextId="9" unboundColumnsRight="2">
    <queryTableFields count="6">
      <queryTableField id="2" name="id_produk" tableColumnId="2"/>
      <queryTableField id="3" name="weight_value_id" tableColumnId="3"/>
      <queryTableField id="4" name="score_type" tableColumnId="4"/>
      <queryTableField id="5" name="bobot" tableColumnId="5"/>
      <queryTableField id="7" dataBound="0" tableColumnId="7"/>
      <queryTableField id="8" dataBound="0" tableColumnId="8"/>
    </queryTableFields>
    <queryTableDeletedFields count="1">
      <deletedField name="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A6EE5-C9B1-F54F-8807-441CDBE87BC3}" name="master_score" displayName="master_score" ref="A1:J170" tableType="queryTable" totalsRowShown="0">
  <tableColumns count="10">
    <tableColumn id="1" xr3:uid="{C977DB8C-B3A5-554C-B079-70579824FFA1}" uniqueName="1" name="_id" queryTableFieldId="1" dataDxfId="10"/>
    <tableColumn id="2" xr3:uid="{91EA30AE-11CC-1B4A-ACA8-179255BC1614}" uniqueName="2" name="weight_value_id" queryTableFieldId="2" dataDxfId="9"/>
    <tableColumn id="3" xr3:uid="{CA2B176F-B14A-F94D-8252-A52B0F741B96}" uniqueName="3" name="score_type" queryTableFieldId="3" dataDxfId="8"/>
    <tableColumn id="4" xr3:uid="{F16A1E90-610C-C642-8E1E-29CFF2644C4D}" uniqueName="4" name="range_min" queryTableFieldId="4"/>
    <tableColumn id="5" xr3:uid="{2006D837-A533-EF44-952E-323CB3EAF820}" uniqueName="5" name="range_max" queryTableFieldId="5"/>
    <tableColumn id="6" xr3:uid="{364FC3A7-4BA4-3645-BE9C-DFBC14ED10D6}" uniqueName="6" name="point" queryTableFieldId="6"/>
    <tableColumn id="7" xr3:uid="{92AEC32E-810E-0642-BC14-C4DCF2444B1C}" uniqueName="7" name="description" queryTableFieldId="7" dataDxfId="7"/>
    <tableColumn id="9" xr3:uid="{22469EF1-39AA-2242-B3A6-02162AA4437E}" uniqueName="9" name="group" queryTableFieldId="9" dataDxfId="6"/>
    <tableColumn id="10" xr3:uid="{ACFC87C8-8393-F945-AB58-99A2EB0B93E0}" uniqueName="10" name="status" queryTableFieldId="10"/>
    <tableColumn id="11" xr3:uid="{00B6E315-6100-C14C-8DCE-C792CC7D6265}" uniqueName="11" name="reff_id" queryTableFieldId="11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85F798-94D7-9B4A-B0A4-D4E54A66508E}" name="master_score_bobot5" displayName="master_score_bobot5" ref="I1:N18" tableType="queryTable" totalsRowShown="0">
  <tableColumns count="6">
    <tableColumn id="2" xr3:uid="{95103AB4-36E8-D249-95DC-416E23CA9C9F}" uniqueName="2" name="id_produk" queryTableFieldId="2"/>
    <tableColumn id="3" xr3:uid="{92B31DEE-B890-CA4F-A308-DF35C34FED7A}" uniqueName="3" name="weight_value_id" queryTableFieldId="3" dataDxfId="4"/>
    <tableColumn id="4" xr3:uid="{8E356379-3FCE-064E-979C-517CCBBA2D66}" uniqueName="4" name="score_type" queryTableFieldId="4" dataDxfId="3"/>
    <tableColumn id="5" xr3:uid="{F237C714-C11D-8740-A386-4D7FFDF7D4D8}" uniqueName="5" name="bobot" queryTableFieldId="5" dataDxfId="2"/>
    <tableColumn id="7" xr3:uid="{66D36A93-B109-AC4E-ADCA-46EAC8A4D292}" uniqueName="7" name="total grup bobot" queryTableFieldId="7" dataDxfId="1">
      <calculatedColumnFormula>SUM(G2:G10)</calculatedColumnFormula>
    </tableColumn>
    <tableColumn id="8" xr3:uid="{C53B1DC7-3CB1-D344-B3B6-3985F173BF36}" uniqueName="8" name="total bobot final" queryTableFieldId="8" dataDxfId="0">
      <calculatedColumnFormula>master_score_bobot5[[#This Row],[bobot]]*master_score_bobot5[[#This Row],[total grup bobot]]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D7D0-F90D-1044-A774-73C975A6F06E}">
  <dimension ref="A1:J170"/>
  <sheetViews>
    <sheetView topLeftCell="C1" workbookViewId="0">
      <selection activeCell="G8" sqref="G8"/>
    </sheetView>
  </sheetViews>
  <sheetFormatPr defaultColWidth="10.6640625" defaultRowHeight="16" x14ac:dyDescent="0.4"/>
  <cols>
    <col min="1" max="1" width="6.1640625" bestFit="1" customWidth="1"/>
    <col min="2" max="2" width="16.6640625" bestFit="1" customWidth="1"/>
    <col min="3" max="3" width="12.6640625" bestFit="1" customWidth="1"/>
    <col min="4" max="4" width="12.33203125" bestFit="1" customWidth="1"/>
    <col min="5" max="5" width="12.6640625" bestFit="1" customWidth="1"/>
    <col min="6" max="6" width="7.83203125" bestFit="1" customWidth="1"/>
    <col min="7" max="7" width="41" bestFit="1" customWidth="1"/>
    <col min="8" max="8" width="27.1640625" bestFit="1" customWidth="1"/>
    <col min="9" max="10" width="9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>
        <v>60</v>
      </c>
      <c r="E2">
        <v>69.989999999999995</v>
      </c>
      <c r="F2">
        <v>3</v>
      </c>
      <c r="G2" t="s">
        <v>13</v>
      </c>
      <c r="H2" t="s">
        <v>14</v>
      </c>
      <c r="I2" t="b">
        <v>1</v>
      </c>
      <c r="J2" t="s">
        <v>15</v>
      </c>
    </row>
    <row r="3" spans="1:10" x14ac:dyDescent="0.4">
      <c r="A3" t="s">
        <v>16</v>
      </c>
      <c r="B3" t="s">
        <v>11</v>
      </c>
      <c r="C3" t="s">
        <v>12</v>
      </c>
      <c r="D3">
        <v>50</v>
      </c>
      <c r="E3">
        <v>59.99</v>
      </c>
      <c r="F3">
        <v>4</v>
      </c>
      <c r="G3" t="s">
        <v>17</v>
      </c>
      <c r="H3" t="s">
        <v>14</v>
      </c>
      <c r="I3" t="b">
        <v>1</v>
      </c>
      <c r="J3" t="s">
        <v>15</v>
      </c>
    </row>
    <row r="4" spans="1:10" x14ac:dyDescent="0.4">
      <c r="A4" t="s">
        <v>18</v>
      </c>
      <c r="B4" t="s">
        <v>11</v>
      </c>
      <c r="C4" t="s">
        <v>12</v>
      </c>
      <c r="D4">
        <v>80.010000000000005</v>
      </c>
      <c r="E4">
        <v>1000</v>
      </c>
      <c r="F4">
        <v>1</v>
      </c>
      <c r="G4" t="s">
        <v>19</v>
      </c>
      <c r="H4" t="s">
        <v>14</v>
      </c>
      <c r="I4" t="b">
        <v>1</v>
      </c>
      <c r="J4" t="s">
        <v>15</v>
      </c>
    </row>
    <row r="5" spans="1:10" x14ac:dyDescent="0.4">
      <c r="A5" t="s">
        <v>20</v>
      </c>
      <c r="B5" t="s">
        <v>11</v>
      </c>
      <c r="C5" t="s">
        <v>12</v>
      </c>
      <c r="D5">
        <v>0</v>
      </c>
      <c r="E5">
        <v>49.99</v>
      </c>
      <c r="F5">
        <v>5</v>
      </c>
      <c r="G5" t="s">
        <v>21</v>
      </c>
      <c r="H5" t="s">
        <v>14</v>
      </c>
      <c r="I5" t="b">
        <v>1</v>
      </c>
      <c r="J5" t="s">
        <v>15</v>
      </c>
    </row>
    <row r="6" spans="1:10" x14ac:dyDescent="0.4">
      <c r="A6" t="s">
        <v>22</v>
      </c>
      <c r="B6" t="s">
        <v>11</v>
      </c>
      <c r="C6" t="s">
        <v>12</v>
      </c>
      <c r="D6">
        <v>70</v>
      </c>
      <c r="E6">
        <v>80</v>
      </c>
      <c r="F6">
        <v>2</v>
      </c>
      <c r="G6" t="s">
        <v>23</v>
      </c>
      <c r="H6" t="s">
        <v>14</v>
      </c>
      <c r="I6" t="b">
        <v>1</v>
      </c>
      <c r="J6" t="s">
        <v>15</v>
      </c>
    </row>
    <row r="7" spans="1:10" x14ac:dyDescent="0.4">
      <c r="A7" t="s">
        <v>24</v>
      </c>
      <c r="B7" t="s">
        <v>11</v>
      </c>
      <c r="C7" t="s">
        <v>12</v>
      </c>
      <c r="D7">
        <v>0</v>
      </c>
      <c r="E7">
        <v>30</v>
      </c>
      <c r="F7">
        <v>5</v>
      </c>
      <c r="G7" t="s">
        <v>25</v>
      </c>
      <c r="H7" t="s">
        <v>26</v>
      </c>
      <c r="I7" t="b">
        <v>1</v>
      </c>
      <c r="J7" t="s">
        <v>15</v>
      </c>
    </row>
    <row r="8" spans="1:10" x14ac:dyDescent="0.4">
      <c r="A8" t="s">
        <v>27</v>
      </c>
      <c r="B8" t="s">
        <v>11</v>
      </c>
      <c r="C8" t="s">
        <v>12</v>
      </c>
      <c r="D8">
        <v>31</v>
      </c>
      <c r="E8">
        <v>40</v>
      </c>
      <c r="F8">
        <v>4</v>
      </c>
      <c r="G8" t="s">
        <v>28</v>
      </c>
      <c r="H8" t="s">
        <v>26</v>
      </c>
      <c r="I8" t="b">
        <v>1</v>
      </c>
      <c r="J8" t="s">
        <v>15</v>
      </c>
    </row>
    <row r="9" spans="1:10" x14ac:dyDescent="0.4">
      <c r="A9" t="s">
        <v>29</v>
      </c>
      <c r="B9" t="s">
        <v>11</v>
      </c>
      <c r="C9" t="s">
        <v>12</v>
      </c>
      <c r="D9">
        <v>41</v>
      </c>
      <c r="E9">
        <v>50</v>
      </c>
      <c r="F9">
        <v>3</v>
      </c>
      <c r="G9" t="s">
        <v>30</v>
      </c>
      <c r="H9" t="s">
        <v>26</v>
      </c>
      <c r="I9" t="b">
        <v>1</v>
      </c>
      <c r="J9" t="s">
        <v>15</v>
      </c>
    </row>
    <row r="10" spans="1:10" x14ac:dyDescent="0.4">
      <c r="A10" t="s">
        <v>31</v>
      </c>
      <c r="B10" t="s">
        <v>11</v>
      </c>
      <c r="C10" t="s">
        <v>12</v>
      </c>
      <c r="D10">
        <v>51</v>
      </c>
      <c r="E10">
        <v>60</v>
      </c>
      <c r="F10">
        <v>2</v>
      </c>
      <c r="G10" t="s">
        <v>32</v>
      </c>
      <c r="H10" t="s">
        <v>26</v>
      </c>
      <c r="I10" t="b">
        <v>1</v>
      </c>
      <c r="J10" t="s">
        <v>15</v>
      </c>
    </row>
    <row r="11" spans="1:10" x14ac:dyDescent="0.4">
      <c r="A11" t="s">
        <v>33</v>
      </c>
      <c r="B11" t="s">
        <v>11</v>
      </c>
      <c r="C11" t="s">
        <v>12</v>
      </c>
      <c r="D11">
        <v>61</v>
      </c>
      <c r="E11">
        <v>70</v>
      </c>
      <c r="F11">
        <v>1</v>
      </c>
      <c r="G11" t="s">
        <v>34</v>
      </c>
      <c r="H11" t="s">
        <v>26</v>
      </c>
      <c r="I11" t="b">
        <v>1</v>
      </c>
      <c r="J11" t="s">
        <v>15</v>
      </c>
    </row>
    <row r="12" spans="1:10" x14ac:dyDescent="0.4">
      <c r="A12" t="s">
        <v>35</v>
      </c>
      <c r="B12" t="s">
        <v>11</v>
      </c>
      <c r="C12" t="s">
        <v>12</v>
      </c>
      <c r="D12">
        <v>0</v>
      </c>
      <c r="E12">
        <v>0.9</v>
      </c>
      <c r="F12">
        <v>1</v>
      </c>
      <c r="G12" t="s">
        <v>36</v>
      </c>
      <c r="H12" t="s">
        <v>37</v>
      </c>
      <c r="I12" t="b">
        <v>0</v>
      </c>
      <c r="J12" t="s">
        <v>15</v>
      </c>
    </row>
    <row r="13" spans="1:10" x14ac:dyDescent="0.4">
      <c r="A13" t="s">
        <v>38</v>
      </c>
      <c r="B13" t="s">
        <v>11</v>
      </c>
      <c r="C13" t="s">
        <v>12</v>
      </c>
      <c r="D13">
        <v>1</v>
      </c>
      <c r="E13">
        <v>2</v>
      </c>
      <c r="F13">
        <v>2</v>
      </c>
      <c r="G13" t="s">
        <v>39</v>
      </c>
      <c r="H13" t="s">
        <v>37</v>
      </c>
      <c r="I13" t="b">
        <v>0</v>
      </c>
      <c r="J13" t="s">
        <v>15</v>
      </c>
    </row>
    <row r="14" spans="1:10" x14ac:dyDescent="0.4">
      <c r="A14" t="s">
        <v>40</v>
      </c>
      <c r="B14" t="s">
        <v>11</v>
      </c>
      <c r="C14" t="s">
        <v>12</v>
      </c>
      <c r="D14">
        <v>2.0099999999999998</v>
      </c>
      <c r="E14">
        <v>100</v>
      </c>
      <c r="F14">
        <v>5</v>
      </c>
      <c r="G14" t="s">
        <v>41</v>
      </c>
      <c r="H14" t="s">
        <v>37</v>
      </c>
      <c r="I14" t="b">
        <v>0</v>
      </c>
      <c r="J14" t="s">
        <v>15</v>
      </c>
    </row>
    <row r="15" spans="1:10" x14ac:dyDescent="0.4">
      <c r="A15" t="s">
        <v>42</v>
      </c>
      <c r="B15" t="s">
        <v>11</v>
      </c>
      <c r="C15" t="s">
        <v>12</v>
      </c>
      <c r="D15">
        <v>2</v>
      </c>
      <c r="E15">
        <v>2</v>
      </c>
      <c r="F15">
        <v>2</v>
      </c>
      <c r="G15" t="s">
        <v>43</v>
      </c>
      <c r="H15" t="s">
        <v>44</v>
      </c>
      <c r="I15" t="b">
        <v>1</v>
      </c>
      <c r="J15" t="s">
        <v>15</v>
      </c>
    </row>
    <row r="16" spans="1:10" x14ac:dyDescent="0.4">
      <c r="A16" t="s">
        <v>45</v>
      </c>
      <c r="B16" t="s">
        <v>11</v>
      </c>
      <c r="C16" t="s">
        <v>12</v>
      </c>
      <c r="D16">
        <v>2</v>
      </c>
      <c r="E16">
        <v>2</v>
      </c>
      <c r="F16">
        <v>4</v>
      </c>
      <c r="G16" t="s">
        <v>46</v>
      </c>
      <c r="H16" t="s">
        <v>44</v>
      </c>
      <c r="I16" t="b">
        <v>1</v>
      </c>
      <c r="J16" t="s">
        <v>15</v>
      </c>
    </row>
    <row r="17" spans="1:10" x14ac:dyDescent="0.4">
      <c r="A17" t="s">
        <v>47</v>
      </c>
      <c r="B17" t="s">
        <v>11</v>
      </c>
      <c r="C17" t="s">
        <v>12</v>
      </c>
      <c r="D17">
        <v>5</v>
      </c>
      <c r="E17">
        <v>5</v>
      </c>
      <c r="F17">
        <v>5</v>
      </c>
      <c r="G17" t="s">
        <v>48</v>
      </c>
      <c r="H17" t="s">
        <v>44</v>
      </c>
      <c r="I17" t="b">
        <v>1</v>
      </c>
      <c r="J17" t="s">
        <v>15</v>
      </c>
    </row>
    <row r="18" spans="1:10" x14ac:dyDescent="0.4">
      <c r="A18" t="s">
        <v>49</v>
      </c>
      <c r="B18" t="s">
        <v>11</v>
      </c>
      <c r="C18" t="s">
        <v>12</v>
      </c>
      <c r="D18">
        <v>3</v>
      </c>
      <c r="E18">
        <v>3</v>
      </c>
      <c r="F18">
        <v>3</v>
      </c>
      <c r="G18" t="s">
        <v>50</v>
      </c>
      <c r="H18" t="s">
        <v>44</v>
      </c>
      <c r="I18" t="b">
        <v>1</v>
      </c>
      <c r="J18" t="s">
        <v>15</v>
      </c>
    </row>
    <row r="19" spans="1:10" x14ac:dyDescent="0.4">
      <c r="A19" t="s">
        <v>51</v>
      </c>
      <c r="B19" t="s">
        <v>11</v>
      </c>
      <c r="C19" t="s">
        <v>12</v>
      </c>
      <c r="D19">
        <v>2201</v>
      </c>
      <c r="E19">
        <v>10000</v>
      </c>
      <c r="F19">
        <v>4</v>
      </c>
      <c r="G19" t="s">
        <v>52</v>
      </c>
      <c r="H19" t="s">
        <v>53</v>
      </c>
      <c r="I19" t="b">
        <v>1</v>
      </c>
      <c r="J19" t="s">
        <v>15</v>
      </c>
    </row>
    <row r="20" spans="1:10" x14ac:dyDescent="0.4">
      <c r="A20" t="s">
        <v>54</v>
      </c>
      <c r="B20" t="s">
        <v>11</v>
      </c>
      <c r="C20" t="s">
        <v>12</v>
      </c>
      <c r="D20">
        <v>2200</v>
      </c>
      <c r="E20">
        <v>2200</v>
      </c>
      <c r="F20">
        <v>3</v>
      </c>
      <c r="G20" t="s">
        <v>55</v>
      </c>
      <c r="H20" t="s">
        <v>53</v>
      </c>
      <c r="I20" t="b">
        <v>1</v>
      </c>
      <c r="J20" t="s">
        <v>15</v>
      </c>
    </row>
    <row r="21" spans="1:10" x14ac:dyDescent="0.4">
      <c r="A21" t="s">
        <v>56</v>
      </c>
      <c r="B21" t="s">
        <v>11</v>
      </c>
      <c r="C21" t="s">
        <v>12</v>
      </c>
      <c r="D21">
        <v>1300</v>
      </c>
      <c r="E21">
        <v>1300</v>
      </c>
      <c r="F21">
        <v>2</v>
      </c>
      <c r="G21" t="s">
        <v>57</v>
      </c>
      <c r="H21" t="s">
        <v>53</v>
      </c>
      <c r="I21" t="b">
        <v>1</v>
      </c>
      <c r="J21" t="s">
        <v>15</v>
      </c>
    </row>
    <row r="22" spans="1:10" x14ac:dyDescent="0.4">
      <c r="A22" t="s">
        <v>58</v>
      </c>
      <c r="B22" t="s">
        <v>11</v>
      </c>
      <c r="C22" t="s">
        <v>12</v>
      </c>
      <c r="D22">
        <v>900</v>
      </c>
      <c r="E22">
        <v>900</v>
      </c>
      <c r="F22">
        <v>1</v>
      </c>
      <c r="G22" t="s">
        <v>59</v>
      </c>
      <c r="H22" t="s">
        <v>53</v>
      </c>
      <c r="I22" t="b">
        <v>1</v>
      </c>
      <c r="J22" t="s">
        <v>15</v>
      </c>
    </row>
    <row r="23" spans="1:10" x14ac:dyDescent="0.4">
      <c r="A23" t="s">
        <v>60</v>
      </c>
      <c r="B23" t="s">
        <v>11</v>
      </c>
      <c r="C23" t="s">
        <v>12</v>
      </c>
      <c r="D23">
        <v>450</v>
      </c>
      <c r="E23">
        <v>450</v>
      </c>
      <c r="F23">
        <v>0</v>
      </c>
      <c r="G23" t="s">
        <v>61</v>
      </c>
      <c r="H23" t="s">
        <v>53</v>
      </c>
      <c r="I23" t="b">
        <v>1</v>
      </c>
      <c r="J23" t="s">
        <v>15</v>
      </c>
    </row>
    <row r="24" spans="1:10" x14ac:dyDescent="0.4">
      <c r="A24" t="s">
        <v>62</v>
      </c>
      <c r="B24" t="s">
        <v>11</v>
      </c>
      <c r="C24" t="s">
        <v>12</v>
      </c>
      <c r="D24">
        <v>51</v>
      </c>
      <c r="E24">
        <v>90</v>
      </c>
      <c r="F24">
        <v>1</v>
      </c>
      <c r="G24" t="s">
        <v>63</v>
      </c>
      <c r="H24" t="s">
        <v>64</v>
      </c>
      <c r="I24" t="b">
        <v>1</v>
      </c>
      <c r="J24" t="s">
        <v>15</v>
      </c>
    </row>
    <row r="25" spans="1:10" x14ac:dyDescent="0.4">
      <c r="A25" t="s">
        <v>65</v>
      </c>
      <c r="B25" t="s">
        <v>11</v>
      </c>
      <c r="C25" t="s">
        <v>12</v>
      </c>
      <c r="D25">
        <v>41</v>
      </c>
      <c r="E25">
        <v>50</v>
      </c>
      <c r="F25">
        <v>4</v>
      </c>
      <c r="G25" t="s">
        <v>66</v>
      </c>
      <c r="H25" t="s">
        <v>64</v>
      </c>
      <c r="I25" t="b">
        <v>1</v>
      </c>
      <c r="J25" t="s">
        <v>15</v>
      </c>
    </row>
    <row r="26" spans="1:10" x14ac:dyDescent="0.4">
      <c r="A26" t="s">
        <v>67</v>
      </c>
      <c r="B26" t="s">
        <v>11</v>
      </c>
      <c r="C26" t="s">
        <v>12</v>
      </c>
      <c r="D26">
        <v>31</v>
      </c>
      <c r="E26">
        <v>40</v>
      </c>
      <c r="F26">
        <v>5</v>
      </c>
      <c r="G26" t="s">
        <v>68</v>
      </c>
      <c r="H26" t="s">
        <v>64</v>
      </c>
      <c r="I26" t="b">
        <v>1</v>
      </c>
      <c r="J26" t="s">
        <v>15</v>
      </c>
    </row>
    <row r="27" spans="1:10" x14ac:dyDescent="0.4">
      <c r="A27" t="s">
        <v>69</v>
      </c>
      <c r="B27" t="s">
        <v>11</v>
      </c>
      <c r="C27" t="s">
        <v>12</v>
      </c>
      <c r="D27">
        <v>26</v>
      </c>
      <c r="E27">
        <v>30</v>
      </c>
      <c r="F27">
        <v>3</v>
      </c>
      <c r="G27" t="s">
        <v>70</v>
      </c>
      <c r="H27" t="s">
        <v>64</v>
      </c>
      <c r="I27" t="b">
        <v>1</v>
      </c>
      <c r="J27" t="s">
        <v>15</v>
      </c>
    </row>
    <row r="28" spans="1:10" x14ac:dyDescent="0.4">
      <c r="A28" t="s">
        <v>71</v>
      </c>
      <c r="B28" t="s">
        <v>11</v>
      </c>
      <c r="C28" t="s">
        <v>12</v>
      </c>
      <c r="D28">
        <v>21</v>
      </c>
      <c r="E28">
        <v>25</v>
      </c>
      <c r="F28">
        <v>2</v>
      </c>
      <c r="G28" t="s">
        <v>72</v>
      </c>
      <c r="H28" t="s">
        <v>64</v>
      </c>
      <c r="I28" t="b">
        <v>1</v>
      </c>
      <c r="J28" t="s">
        <v>15</v>
      </c>
    </row>
    <row r="29" spans="1:10" x14ac:dyDescent="0.4">
      <c r="A29" t="s">
        <v>73</v>
      </c>
      <c r="B29" t="s">
        <v>11</v>
      </c>
      <c r="C29" t="s">
        <v>12</v>
      </c>
      <c r="D29">
        <v>18</v>
      </c>
      <c r="E29">
        <v>24</v>
      </c>
      <c r="F29">
        <v>4</v>
      </c>
      <c r="G29" t="s">
        <v>74</v>
      </c>
      <c r="H29" t="s">
        <v>75</v>
      </c>
      <c r="I29" t="b">
        <v>0</v>
      </c>
      <c r="J29" t="s">
        <v>15</v>
      </c>
    </row>
    <row r="30" spans="1:10" x14ac:dyDescent="0.4">
      <c r="A30" t="s">
        <v>76</v>
      </c>
      <c r="B30" t="s">
        <v>11</v>
      </c>
      <c r="C30" t="s">
        <v>12</v>
      </c>
      <c r="D30">
        <v>30</v>
      </c>
      <c r="E30">
        <v>36</v>
      </c>
      <c r="F30">
        <v>3</v>
      </c>
      <c r="G30" t="s">
        <v>77</v>
      </c>
      <c r="H30" t="s">
        <v>75</v>
      </c>
      <c r="I30" t="b">
        <v>0</v>
      </c>
      <c r="J30" t="s">
        <v>15</v>
      </c>
    </row>
    <row r="31" spans="1:10" x14ac:dyDescent="0.4">
      <c r="A31" t="s">
        <v>78</v>
      </c>
      <c r="B31" t="s">
        <v>11</v>
      </c>
      <c r="C31" t="s">
        <v>12</v>
      </c>
      <c r="D31">
        <v>66</v>
      </c>
      <c r="E31">
        <v>72</v>
      </c>
      <c r="F31">
        <v>1</v>
      </c>
      <c r="G31" t="s">
        <v>79</v>
      </c>
      <c r="H31" t="s">
        <v>75</v>
      </c>
      <c r="I31" t="b">
        <v>0</v>
      </c>
      <c r="J31" t="s">
        <v>15</v>
      </c>
    </row>
    <row r="32" spans="1:10" x14ac:dyDescent="0.4">
      <c r="A32" t="s">
        <v>80</v>
      </c>
      <c r="B32" t="s">
        <v>11</v>
      </c>
      <c r="C32" t="s">
        <v>12</v>
      </c>
      <c r="D32">
        <v>78</v>
      </c>
      <c r="E32">
        <v>84</v>
      </c>
      <c r="F32">
        <v>1</v>
      </c>
      <c r="G32" t="s">
        <v>81</v>
      </c>
      <c r="H32" t="s">
        <v>75</v>
      </c>
      <c r="I32" t="b">
        <v>0</v>
      </c>
      <c r="J32" t="s">
        <v>15</v>
      </c>
    </row>
    <row r="33" spans="1:10" x14ac:dyDescent="0.4">
      <c r="A33" t="s">
        <v>82</v>
      </c>
      <c r="B33" t="s">
        <v>11</v>
      </c>
      <c r="C33" t="s">
        <v>12</v>
      </c>
      <c r="D33">
        <v>6</v>
      </c>
      <c r="E33">
        <v>12</v>
      </c>
      <c r="F33">
        <v>5</v>
      </c>
      <c r="G33" t="s">
        <v>83</v>
      </c>
      <c r="H33" t="s">
        <v>75</v>
      </c>
      <c r="I33" t="b">
        <v>0</v>
      </c>
      <c r="J33" t="s">
        <v>15</v>
      </c>
    </row>
    <row r="34" spans="1:10" x14ac:dyDescent="0.4">
      <c r="A34" t="s">
        <v>84</v>
      </c>
      <c r="B34" t="s">
        <v>11</v>
      </c>
      <c r="C34" t="s">
        <v>12</v>
      </c>
      <c r="D34">
        <v>42</v>
      </c>
      <c r="E34">
        <v>48</v>
      </c>
      <c r="F34">
        <v>2</v>
      </c>
      <c r="G34" t="s">
        <v>85</v>
      </c>
      <c r="H34" t="s">
        <v>75</v>
      </c>
      <c r="I34" t="b">
        <v>0</v>
      </c>
      <c r="J34" t="s">
        <v>15</v>
      </c>
    </row>
    <row r="35" spans="1:10" x14ac:dyDescent="0.4">
      <c r="A35" t="s">
        <v>86</v>
      </c>
      <c r="B35" t="s">
        <v>11</v>
      </c>
      <c r="C35" t="s">
        <v>12</v>
      </c>
      <c r="D35">
        <v>54</v>
      </c>
      <c r="E35">
        <v>60</v>
      </c>
      <c r="F35">
        <v>1</v>
      </c>
      <c r="G35" t="s">
        <v>87</v>
      </c>
      <c r="H35" t="s">
        <v>75</v>
      </c>
      <c r="I35" t="b">
        <v>0</v>
      </c>
      <c r="J35" t="s">
        <v>15</v>
      </c>
    </row>
    <row r="36" spans="1:10" x14ac:dyDescent="0.4">
      <c r="A36" t="s">
        <v>88</v>
      </c>
      <c r="B36" t="s">
        <v>11</v>
      </c>
      <c r="C36" t="s">
        <v>12</v>
      </c>
      <c r="D36">
        <v>0</v>
      </c>
      <c r="E36">
        <v>2500000</v>
      </c>
      <c r="F36">
        <v>1</v>
      </c>
      <c r="G36" t="s">
        <v>89</v>
      </c>
      <c r="H36" t="s">
        <v>90</v>
      </c>
      <c r="I36" t="b">
        <v>1</v>
      </c>
      <c r="J36" t="s">
        <v>15</v>
      </c>
    </row>
    <row r="37" spans="1:10" x14ac:dyDescent="0.4">
      <c r="A37" t="s">
        <v>91</v>
      </c>
      <c r="B37" t="s">
        <v>11</v>
      </c>
      <c r="C37" t="s">
        <v>12</v>
      </c>
      <c r="D37">
        <v>2500001</v>
      </c>
      <c r="E37">
        <v>5000000</v>
      </c>
      <c r="F37">
        <v>2</v>
      </c>
      <c r="G37" t="s">
        <v>92</v>
      </c>
      <c r="H37" t="s">
        <v>90</v>
      </c>
      <c r="I37" t="b">
        <v>1</v>
      </c>
      <c r="J37" t="s">
        <v>15</v>
      </c>
    </row>
    <row r="38" spans="1:10" x14ac:dyDescent="0.4">
      <c r="A38" t="s">
        <v>93</v>
      </c>
      <c r="B38" t="s">
        <v>11</v>
      </c>
      <c r="C38" t="s">
        <v>12</v>
      </c>
      <c r="D38">
        <v>5000001</v>
      </c>
      <c r="E38">
        <v>10000000</v>
      </c>
      <c r="F38">
        <v>3</v>
      </c>
      <c r="G38" t="s">
        <v>94</v>
      </c>
      <c r="H38" t="s">
        <v>90</v>
      </c>
      <c r="I38" t="b">
        <v>1</v>
      </c>
      <c r="J38" t="s">
        <v>15</v>
      </c>
    </row>
    <row r="39" spans="1:10" x14ac:dyDescent="0.4">
      <c r="A39" t="s">
        <v>95</v>
      </c>
      <c r="B39" t="s">
        <v>11</v>
      </c>
      <c r="C39" t="s">
        <v>12</v>
      </c>
      <c r="D39">
        <v>10000001</v>
      </c>
      <c r="E39">
        <v>15000000</v>
      </c>
      <c r="F39">
        <v>4</v>
      </c>
      <c r="G39" t="s">
        <v>96</v>
      </c>
      <c r="H39" t="s">
        <v>90</v>
      </c>
      <c r="I39" t="b">
        <v>1</v>
      </c>
      <c r="J39" t="s">
        <v>15</v>
      </c>
    </row>
    <row r="40" spans="1:10" x14ac:dyDescent="0.4">
      <c r="A40" t="s">
        <v>97</v>
      </c>
      <c r="B40" t="s">
        <v>11</v>
      </c>
      <c r="C40" t="s">
        <v>12</v>
      </c>
      <c r="D40">
        <v>15000001</v>
      </c>
      <c r="E40">
        <v>1000000000</v>
      </c>
      <c r="F40">
        <v>5</v>
      </c>
      <c r="G40" t="s">
        <v>98</v>
      </c>
      <c r="H40" t="s">
        <v>90</v>
      </c>
      <c r="I40" t="b">
        <v>1</v>
      </c>
      <c r="J40" t="s">
        <v>15</v>
      </c>
    </row>
    <row r="41" spans="1:10" x14ac:dyDescent="0.4">
      <c r="A41" t="s">
        <v>99</v>
      </c>
      <c r="B41" t="s">
        <v>11</v>
      </c>
      <c r="C41" t="s">
        <v>12</v>
      </c>
      <c r="D41">
        <v>1</v>
      </c>
      <c r="E41">
        <v>1</v>
      </c>
      <c r="F41">
        <v>1</v>
      </c>
      <c r="G41" t="s">
        <v>100</v>
      </c>
      <c r="H41" t="s">
        <v>101</v>
      </c>
      <c r="I41" t="b">
        <v>0</v>
      </c>
      <c r="J41" t="s">
        <v>15</v>
      </c>
    </row>
    <row r="42" spans="1:10" x14ac:dyDescent="0.4">
      <c r="A42" t="s">
        <v>102</v>
      </c>
      <c r="B42" t="s">
        <v>11</v>
      </c>
      <c r="C42" t="s">
        <v>12</v>
      </c>
      <c r="D42">
        <v>2</v>
      </c>
      <c r="E42">
        <v>2</v>
      </c>
      <c r="F42">
        <v>2</v>
      </c>
      <c r="G42" t="s">
        <v>103</v>
      </c>
      <c r="H42" t="s">
        <v>101</v>
      </c>
      <c r="I42" t="b">
        <v>0</v>
      </c>
      <c r="J42" t="s">
        <v>15</v>
      </c>
    </row>
    <row r="43" spans="1:10" x14ac:dyDescent="0.4">
      <c r="A43" t="s">
        <v>104</v>
      </c>
      <c r="B43" t="s">
        <v>11</v>
      </c>
      <c r="C43" t="s">
        <v>12</v>
      </c>
      <c r="D43">
        <v>3</v>
      </c>
      <c r="E43">
        <v>3</v>
      </c>
      <c r="F43">
        <v>3</v>
      </c>
      <c r="G43" t="s">
        <v>105</v>
      </c>
      <c r="H43" t="s">
        <v>101</v>
      </c>
      <c r="I43" t="b">
        <v>0</v>
      </c>
      <c r="J43" t="s">
        <v>15</v>
      </c>
    </row>
    <row r="44" spans="1:10" x14ac:dyDescent="0.4">
      <c r="A44" t="s">
        <v>106</v>
      </c>
      <c r="B44" t="s">
        <v>11</v>
      </c>
      <c r="C44" t="s">
        <v>12</v>
      </c>
      <c r="D44">
        <v>4</v>
      </c>
      <c r="E44">
        <v>4</v>
      </c>
      <c r="F44">
        <v>4</v>
      </c>
      <c r="G44" t="s">
        <v>107</v>
      </c>
      <c r="H44" t="s">
        <v>101</v>
      </c>
      <c r="I44" t="b">
        <v>0</v>
      </c>
      <c r="J44" t="s">
        <v>15</v>
      </c>
    </row>
    <row r="45" spans="1:10" x14ac:dyDescent="0.4">
      <c r="A45" t="s">
        <v>108</v>
      </c>
      <c r="B45" t="s">
        <v>11</v>
      </c>
      <c r="C45" t="s">
        <v>12</v>
      </c>
      <c r="D45">
        <v>5</v>
      </c>
      <c r="E45">
        <v>5</v>
      </c>
      <c r="F45">
        <v>5</v>
      </c>
      <c r="G45" t="s">
        <v>109</v>
      </c>
      <c r="H45" t="s">
        <v>101</v>
      </c>
      <c r="I45" t="b">
        <v>0</v>
      </c>
      <c r="J45" t="s">
        <v>15</v>
      </c>
    </row>
    <row r="46" spans="1:10" x14ac:dyDescent="0.4">
      <c r="A46" t="s">
        <v>110</v>
      </c>
      <c r="B46" t="s">
        <v>111</v>
      </c>
      <c r="C46" t="s">
        <v>112</v>
      </c>
      <c r="D46">
        <v>5</v>
      </c>
      <c r="E46">
        <v>5</v>
      </c>
      <c r="F46">
        <v>5</v>
      </c>
      <c r="G46" t="s">
        <v>113</v>
      </c>
      <c r="H46" t="s">
        <v>114</v>
      </c>
      <c r="I46" t="b">
        <v>0</v>
      </c>
      <c r="J46" t="s">
        <v>15</v>
      </c>
    </row>
    <row r="47" spans="1:10" x14ac:dyDescent="0.4">
      <c r="A47" t="s">
        <v>115</v>
      </c>
      <c r="B47" t="s">
        <v>111</v>
      </c>
      <c r="C47" t="s">
        <v>112</v>
      </c>
      <c r="D47">
        <v>4</v>
      </c>
      <c r="E47">
        <v>4</v>
      </c>
      <c r="F47">
        <v>4</v>
      </c>
      <c r="G47" t="s">
        <v>116</v>
      </c>
      <c r="H47" t="s">
        <v>114</v>
      </c>
      <c r="I47" t="b">
        <v>0</v>
      </c>
      <c r="J47" t="s">
        <v>15</v>
      </c>
    </row>
    <row r="48" spans="1:10" x14ac:dyDescent="0.4">
      <c r="A48" t="s">
        <v>117</v>
      </c>
      <c r="B48" t="s">
        <v>111</v>
      </c>
      <c r="C48" t="s">
        <v>112</v>
      </c>
      <c r="D48">
        <v>3</v>
      </c>
      <c r="E48">
        <v>3</v>
      </c>
      <c r="F48">
        <v>3</v>
      </c>
      <c r="G48" t="s">
        <v>118</v>
      </c>
      <c r="H48" t="s">
        <v>114</v>
      </c>
      <c r="I48" t="b">
        <v>0</v>
      </c>
      <c r="J48" t="s">
        <v>15</v>
      </c>
    </row>
    <row r="49" spans="1:10" x14ac:dyDescent="0.4">
      <c r="A49" t="s">
        <v>119</v>
      </c>
      <c r="B49" t="s">
        <v>111</v>
      </c>
      <c r="C49" t="s">
        <v>112</v>
      </c>
      <c r="D49">
        <v>2</v>
      </c>
      <c r="E49">
        <v>2</v>
      </c>
      <c r="F49">
        <v>2</v>
      </c>
      <c r="G49" t="s">
        <v>120</v>
      </c>
      <c r="H49" t="s">
        <v>114</v>
      </c>
      <c r="I49" t="b">
        <v>0</v>
      </c>
      <c r="J49" t="s">
        <v>15</v>
      </c>
    </row>
    <row r="50" spans="1:10" x14ac:dyDescent="0.4">
      <c r="A50" t="s">
        <v>121</v>
      </c>
      <c r="B50" t="s">
        <v>111</v>
      </c>
      <c r="C50" t="s">
        <v>112</v>
      </c>
      <c r="D50">
        <v>5</v>
      </c>
      <c r="E50">
        <v>5</v>
      </c>
      <c r="F50">
        <v>5</v>
      </c>
      <c r="G50" t="s">
        <v>122</v>
      </c>
      <c r="H50" t="s">
        <v>114</v>
      </c>
      <c r="I50" t="b">
        <v>0</v>
      </c>
      <c r="J50" t="s">
        <v>15</v>
      </c>
    </row>
    <row r="51" spans="1:10" x14ac:dyDescent="0.4">
      <c r="A51" t="s">
        <v>123</v>
      </c>
      <c r="B51" t="s">
        <v>111</v>
      </c>
      <c r="C51" t="s">
        <v>112</v>
      </c>
      <c r="D51">
        <v>3</v>
      </c>
      <c r="E51">
        <v>3</v>
      </c>
      <c r="F51">
        <v>3</v>
      </c>
      <c r="G51" t="s">
        <v>124</v>
      </c>
      <c r="H51" t="s">
        <v>114</v>
      </c>
      <c r="I51" t="b">
        <v>0</v>
      </c>
      <c r="J51" t="s">
        <v>15</v>
      </c>
    </row>
    <row r="52" spans="1:10" x14ac:dyDescent="0.4">
      <c r="A52" t="s">
        <v>125</v>
      </c>
      <c r="B52" t="s">
        <v>111</v>
      </c>
      <c r="C52" t="s">
        <v>112</v>
      </c>
      <c r="D52">
        <v>4</v>
      </c>
      <c r="E52">
        <v>4</v>
      </c>
      <c r="F52">
        <v>4</v>
      </c>
      <c r="G52" t="s">
        <v>126</v>
      </c>
      <c r="H52" t="s">
        <v>114</v>
      </c>
      <c r="I52" t="b">
        <v>0</v>
      </c>
      <c r="J52" t="s">
        <v>15</v>
      </c>
    </row>
    <row r="53" spans="1:10" x14ac:dyDescent="0.4">
      <c r="A53" t="s">
        <v>127</v>
      </c>
      <c r="B53" t="s">
        <v>111</v>
      </c>
      <c r="C53" t="s">
        <v>112</v>
      </c>
      <c r="D53">
        <v>4</v>
      </c>
      <c r="E53">
        <v>4</v>
      </c>
      <c r="F53">
        <v>4</v>
      </c>
      <c r="G53" t="s">
        <v>128</v>
      </c>
      <c r="H53" t="s">
        <v>114</v>
      </c>
      <c r="I53" t="b">
        <v>0</v>
      </c>
      <c r="J53" t="s">
        <v>15</v>
      </c>
    </row>
    <row r="54" spans="1:10" x14ac:dyDescent="0.4">
      <c r="A54" t="s">
        <v>129</v>
      </c>
      <c r="B54" t="s">
        <v>111</v>
      </c>
      <c r="C54" t="s">
        <v>112</v>
      </c>
      <c r="D54">
        <v>3</v>
      </c>
      <c r="E54">
        <v>3</v>
      </c>
      <c r="F54">
        <v>3</v>
      </c>
      <c r="G54" t="s">
        <v>130</v>
      </c>
      <c r="H54" t="s">
        <v>114</v>
      </c>
      <c r="I54" t="b">
        <v>0</v>
      </c>
      <c r="J54" t="s">
        <v>15</v>
      </c>
    </row>
    <row r="55" spans="1:10" x14ac:dyDescent="0.4">
      <c r="A55" t="s">
        <v>131</v>
      </c>
      <c r="B55" t="s">
        <v>111</v>
      </c>
      <c r="C55" t="s">
        <v>112</v>
      </c>
      <c r="D55">
        <v>1</v>
      </c>
      <c r="E55">
        <v>1</v>
      </c>
      <c r="F55">
        <v>1</v>
      </c>
      <c r="G55" t="s">
        <v>132</v>
      </c>
      <c r="H55" t="s">
        <v>114</v>
      </c>
      <c r="I55" t="b">
        <v>0</v>
      </c>
      <c r="J55" t="s">
        <v>15</v>
      </c>
    </row>
    <row r="56" spans="1:10" x14ac:dyDescent="0.4">
      <c r="A56" t="s">
        <v>133</v>
      </c>
      <c r="B56" t="s">
        <v>111</v>
      </c>
      <c r="C56" t="s">
        <v>112</v>
      </c>
      <c r="D56">
        <v>1</v>
      </c>
      <c r="E56">
        <v>1</v>
      </c>
      <c r="F56">
        <v>1</v>
      </c>
      <c r="G56" t="s">
        <v>134</v>
      </c>
      <c r="H56" t="s">
        <v>114</v>
      </c>
      <c r="I56" t="b">
        <v>0</v>
      </c>
      <c r="J56" t="s">
        <v>15</v>
      </c>
    </row>
    <row r="57" spans="1:10" x14ac:dyDescent="0.4">
      <c r="A57" t="s">
        <v>135</v>
      </c>
      <c r="B57" t="s">
        <v>111</v>
      </c>
      <c r="C57" t="s">
        <v>112</v>
      </c>
      <c r="D57">
        <v>3</v>
      </c>
      <c r="E57">
        <v>3</v>
      </c>
      <c r="F57">
        <v>3</v>
      </c>
      <c r="G57" t="s">
        <v>136</v>
      </c>
      <c r="H57" t="s">
        <v>114</v>
      </c>
      <c r="I57" t="b">
        <v>0</v>
      </c>
      <c r="J57" t="s">
        <v>15</v>
      </c>
    </row>
    <row r="58" spans="1:10" x14ac:dyDescent="0.4">
      <c r="A58" t="s">
        <v>137</v>
      </c>
      <c r="B58" t="s">
        <v>111</v>
      </c>
      <c r="C58" t="s">
        <v>112</v>
      </c>
      <c r="D58">
        <v>2</v>
      </c>
      <c r="E58">
        <v>2</v>
      </c>
      <c r="F58">
        <v>2</v>
      </c>
      <c r="G58" t="s">
        <v>138</v>
      </c>
      <c r="H58" t="s">
        <v>139</v>
      </c>
      <c r="I58" t="b">
        <v>0</v>
      </c>
      <c r="J58" t="s">
        <v>15</v>
      </c>
    </row>
    <row r="59" spans="1:10" x14ac:dyDescent="0.4">
      <c r="A59" t="s">
        <v>140</v>
      </c>
      <c r="B59" t="s">
        <v>111</v>
      </c>
      <c r="C59" t="s">
        <v>112</v>
      </c>
      <c r="D59">
        <v>1</v>
      </c>
      <c r="E59">
        <v>1</v>
      </c>
      <c r="F59">
        <v>1</v>
      </c>
      <c r="G59" t="s">
        <v>141</v>
      </c>
      <c r="H59" t="s">
        <v>139</v>
      </c>
      <c r="I59" t="b">
        <v>0</v>
      </c>
      <c r="J59" t="s">
        <v>15</v>
      </c>
    </row>
    <row r="60" spans="1:10" x14ac:dyDescent="0.4">
      <c r="A60" t="s">
        <v>142</v>
      </c>
      <c r="B60" t="s">
        <v>111</v>
      </c>
      <c r="C60" t="s">
        <v>112</v>
      </c>
      <c r="D60">
        <v>5</v>
      </c>
      <c r="E60">
        <v>5</v>
      </c>
      <c r="F60">
        <v>5</v>
      </c>
      <c r="G60" t="s">
        <v>143</v>
      </c>
      <c r="H60" t="s">
        <v>144</v>
      </c>
      <c r="I60" t="b">
        <v>0</v>
      </c>
      <c r="J60" t="s">
        <v>15</v>
      </c>
    </row>
    <row r="61" spans="1:10" x14ac:dyDescent="0.4">
      <c r="A61" t="s">
        <v>145</v>
      </c>
      <c r="B61" t="s">
        <v>111</v>
      </c>
      <c r="C61" t="s">
        <v>112</v>
      </c>
      <c r="D61">
        <v>2</v>
      </c>
      <c r="E61">
        <v>2</v>
      </c>
      <c r="F61">
        <v>2</v>
      </c>
      <c r="G61" t="s">
        <v>146</v>
      </c>
      <c r="H61" t="s">
        <v>144</v>
      </c>
      <c r="I61" t="b">
        <v>0</v>
      </c>
      <c r="J61" t="s">
        <v>15</v>
      </c>
    </row>
    <row r="62" spans="1:10" x14ac:dyDescent="0.4">
      <c r="A62" t="s">
        <v>147</v>
      </c>
      <c r="B62" t="s">
        <v>111</v>
      </c>
      <c r="C62" t="s">
        <v>112</v>
      </c>
      <c r="D62">
        <v>4</v>
      </c>
      <c r="E62">
        <v>4</v>
      </c>
      <c r="F62">
        <v>4</v>
      </c>
      <c r="G62" t="s">
        <v>148</v>
      </c>
      <c r="H62" t="s">
        <v>139</v>
      </c>
      <c r="I62" t="b">
        <v>0</v>
      </c>
      <c r="J62" t="s">
        <v>15</v>
      </c>
    </row>
    <row r="63" spans="1:10" x14ac:dyDescent="0.4">
      <c r="A63" t="s">
        <v>149</v>
      </c>
      <c r="B63" t="s">
        <v>111</v>
      </c>
      <c r="C63" t="s">
        <v>112</v>
      </c>
      <c r="D63">
        <v>1</v>
      </c>
      <c r="E63">
        <v>1</v>
      </c>
      <c r="F63">
        <v>1</v>
      </c>
      <c r="G63" t="s">
        <v>150</v>
      </c>
      <c r="H63" t="s">
        <v>144</v>
      </c>
      <c r="I63" t="b">
        <v>0</v>
      </c>
      <c r="J63" t="s">
        <v>15</v>
      </c>
    </row>
    <row r="64" spans="1:10" x14ac:dyDescent="0.4">
      <c r="A64" t="s">
        <v>151</v>
      </c>
      <c r="B64" t="s">
        <v>111</v>
      </c>
      <c r="C64" t="s">
        <v>112</v>
      </c>
      <c r="D64">
        <v>2</v>
      </c>
      <c r="E64">
        <v>2</v>
      </c>
      <c r="F64">
        <v>2</v>
      </c>
      <c r="G64" t="s">
        <v>152</v>
      </c>
      <c r="H64" t="s">
        <v>153</v>
      </c>
      <c r="I64" t="b">
        <v>0</v>
      </c>
      <c r="J64" t="s">
        <v>15</v>
      </c>
    </row>
    <row r="65" spans="1:10" x14ac:dyDescent="0.4">
      <c r="A65" t="s">
        <v>154</v>
      </c>
      <c r="B65" t="s">
        <v>111</v>
      </c>
      <c r="C65" t="s">
        <v>112</v>
      </c>
      <c r="D65">
        <v>3</v>
      </c>
      <c r="E65">
        <v>3</v>
      </c>
      <c r="F65">
        <v>3</v>
      </c>
      <c r="G65" t="s">
        <v>155</v>
      </c>
      <c r="H65" t="s">
        <v>139</v>
      </c>
      <c r="I65" t="b">
        <v>0</v>
      </c>
      <c r="J65" t="s">
        <v>15</v>
      </c>
    </row>
    <row r="66" spans="1:10" x14ac:dyDescent="0.4">
      <c r="A66" t="s">
        <v>156</v>
      </c>
      <c r="B66" t="s">
        <v>111</v>
      </c>
      <c r="C66" t="s">
        <v>112</v>
      </c>
      <c r="D66">
        <v>3</v>
      </c>
      <c r="E66">
        <v>3</v>
      </c>
      <c r="F66">
        <v>3</v>
      </c>
      <c r="G66" t="s">
        <v>157</v>
      </c>
      <c r="H66" t="s">
        <v>144</v>
      </c>
      <c r="I66" t="b">
        <v>0</v>
      </c>
      <c r="J66" t="s">
        <v>15</v>
      </c>
    </row>
    <row r="67" spans="1:10" x14ac:dyDescent="0.4">
      <c r="A67" t="s">
        <v>158</v>
      </c>
      <c r="B67" t="s">
        <v>111</v>
      </c>
      <c r="C67" t="s">
        <v>112</v>
      </c>
      <c r="D67">
        <v>0</v>
      </c>
      <c r="E67">
        <v>0</v>
      </c>
      <c r="F67">
        <v>0</v>
      </c>
      <c r="G67" t="s">
        <v>159</v>
      </c>
      <c r="H67" t="s">
        <v>144</v>
      </c>
      <c r="I67" t="b">
        <v>0</v>
      </c>
      <c r="J67" t="s">
        <v>15</v>
      </c>
    </row>
    <row r="68" spans="1:10" x14ac:dyDescent="0.4">
      <c r="A68" t="s">
        <v>160</v>
      </c>
      <c r="B68" t="s">
        <v>111</v>
      </c>
      <c r="C68" t="s">
        <v>112</v>
      </c>
      <c r="D68">
        <v>5</v>
      </c>
      <c r="E68">
        <v>5</v>
      </c>
      <c r="F68">
        <v>5</v>
      </c>
      <c r="G68" t="s">
        <v>161</v>
      </c>
      <c r="H68" t="s">
        <v>139</v>
      </c>
      <c r="I68" t="b">
        <v>0</v>
      </c>
      <c r="J68" t="s">
        <v>15</v>
      </c>
    </row>
    <row r="69" spans="1:10" x14ac:dyDescent="0.4">
      <c r="A69" t="s">
        <v>162</v>
      </c>
      <c r="B69" t="s">
        <v>111</v>
      </c>
      <c r="C69" t="s">
        <v>112</v>
      </c>
      <c r="D69">
        <v>5</v>
      </c>
      <c r="E69">
        <v>10</v>
      </c>
      <c r="F69">
        <v>5</v>
      </c>
      <c r="G69" t="s">
        <v>163</v>
      </c>
      <c r="H69" t="s">
        <v>164</v>
      </c>
      <c r="I69" t="b">
        <v>1</v>
      </c>
      <c r="J69" t="s">
        <v>15</v>
      </c>
    </row>
    <row r="70" spans="1:10" x14ac:dyDescent="0.4">
      <c r="A70" t="s">
        <v>165</v>
      </c>
      <c r="B70" t="s">
        <v>111</v>
      </c>
      <c r="C70" t="s">
        <v>112</v>
      </c>
      <c r="D70">
        <v>2</v>
      </c>
      <c r="E70">
        <v>5</v>
      </c>
      <c r="F70">
        <v>3</v>
      </c>
      <c r="G70" t="s">
        <v>166</v>
      </c>
      <c r="H70" t="s">
        <v>164</v>
      </c>
      <c r="I70" t="b">
        <v>1</v>
      </c>
      <c r="J70" t="s">
        <v>15</v>
      </c>
    </row>
    <row r="71" spans="1:10" x14ac:dyDescent="0.4">
      <c r="A71" t="s">
        <v>167</v>
      </c>
      <c r="B71" t="s">
        <v>111</v>
      </c>
      <c r="C71" t="s">
        <v>112</v>
      </c>
      <c r="D71">
        <v>0</v>
      </c>
      <c r="E71">
        <v>1</v>
      </c>
      <c r="F71">
        <v>1</v>
      </c>
      <c r="G71" t="s">
        <v>168</v>
      </c>
      <c r="H71" t="s">
        <v>164</v>
      </c>
      <c r="I71" t="b">
        <v>1</v>
      </c>
      <c r="J71" t="s">
        <v>15</v>
      </c>
    </row>
    <row r="72" spans="1:10" x14ac:dyDescent="0.4">
      <c r="A72" t="s">
        <v>169</v>
      </c>
      <c r="B72" t="s">
        <v>111</v>
      </c>
      <c r="C72" t="s">
        <v>112</v>
      </c>
      <c r="D72">
        <v>2</v>
      </c>
      <c r="E72">
        <v>2</v>
      </c>
      <c r="F72">
        <v>2</v>
      </c>
      <c r="G72" t="s">
        <v>170</v>
      </c>
      <c r="H72" t="s">
        <v>171</v>
      </c>
      <c r="I72" t="b">
        <v>1</v>
      </c>
      <c r="J72" t="s">
        <v>15</v>
      </c>
    </row>
    <row r="73" spans="1:10" x14ac:dyDescent="0.4">
      <c r="A73" t="s">
        <v>172</v>
      </c>
      <c r="B73" t="s">
        <v>111</v>
      </c>
      <c r="C73" t="s">
        <v>112</v>
      </c>
      <c r="D73">
        <v>3</v>
      </c>
      <c r="E73">
        <v>3</v>
      </c>
      <c r="F73">
        <v>3</v>
      </c>
      <c r="G73" t="s">
        <v>173</v>
      </c>
      <c r="H73" t="s">
        <v>171</v>
      </c>
      <c r="I73" t="b">
        <v>1</v>
      </c>
      <c r="J73" t="s">
        <v>15</v>
      </c>
    </row>
    <row r="74" spans="1:10" x14ac:dyDescent="0.4">
      <c r="A74" t="s">
        <v>174</v>
      </c>
      <c r="B74" t="s">
        <v>111</v>
      </c>
      <c r="C74" t="s">
        <v>112</v>
      </c>
      <c r="D74">
        <v>4</v>
      </c>
      <c r="E74">
        <v>4</v>
      </c>
      <c r="F74">
        <v>4</v>
      </c>
      <c r="G74" t="s">
        <v>175</v>
      </c>
      <c r="H74" t="s">
        <v>171</v>
      </c>
      <c r="I74" t="b">
        <v>1</v>
      </c>
      <c r="J74" t="s">
        <v>15</v>
      </c>
    </row>
    <row r="75" spans="1:10" x14ac:dyDescent="0.4">
      <c r="A75" t="s">
        <v>176</v>
      </c>
      <c r="B75" t="s">
        <v>111</v>
      </c>
      <c r="C75" t="s">
        <v>112</v>
      </c>
      <c r="D75">
        <v>5</v>
      </c>
      <c r="E75">
        <v>5</v>
      </c>
      <c r="F75">
        <v>5</v>
      </c>
      <c r="G75" t="s">
        <v>177</v>
      </c>
      <c r="H75" t="s">
        <v>171</v>
      </c>
      <c r="I75" t="b">
        <v>1</v>
      </c>
      <c r="J75" t="s">
        <v>15</v>
      </c>
    </row>
    <row r="76" spans="1:10" x14ac:dyDescent="0.4">
      <c r="A76" t="s">
        <v>178</v>
      </c>
      <c r="B76" t="s">
        <v>111</v>
      </c>
      <c r="C76" t="s">
        <v>112</v>
      </c>
      <c r="D76">
        <v>2</v>
      </c>
      <c r="E76">
        <v>2</v>
      </c>
      <c r="F76">
        <v>2</v>
      </c>
      <c r="G76" t="s">
        <v>179</v>
      </c>
      <c r="H76" t="s">
        <v>180</v>
      </c>
      <c r="I76" t="b">
        <v>1</v>
      </c>
      <c r="J76" t="s">
        <v>15</v>
      </c>
    </row>
    <row r="77" spans="1:10" x14ac:dyDescent="0.4">
      <c r="A77" t="s">
        <v>181</v>
      </c>
      <c r="B77" t="s">
        <v>111</v>
      </c>
      <c r="C77" t="s">
        <v>112</v>
      </c>
      <c r="D77">
        <v>3</v>
      </c>
      <c r="E77">
        <v>3</v>
      </c>
      <c r="F77">
        <v>3</v>
      </c>
      <c r="G77" t="s">
        <v>182</v>
      </c>
      <c r="H77" t="s">
        <v>180</v>
      </c>
      <c r="I77" t="b">
        <v>1</v>
      </c>
      <c r="J77" t="s">
        <v>15</v>
      </c>
    </row>
    <row r="78" spans="1:10" x14ac:dyDescent="0.4">
      <c r="A78" t="s">
        <v>183</v>
      </c>
      <c r="B78" t="s">
        <v>111</v>
      </c>
      <c r="C78" t="s">
        <v>112</v>
      </c>
      <c r="D78">
        <v>5</v>
      </c>
      <c r="E78">
        <v>5</v>
      </c>
      <c r="F78">
        <v>5</v>
      </c>
      <c r="G78" t="s">
        <v>184</v>
      </c>
      <c r="H78" t="s">
        <v>180</v>
      </c>
      <c r="I78" t="b">
        <v>1</v>
      </c>
      <c r="J78" t="s">
        <v>15</v>
      </c>
    </row>
    <row r="79" spans="1:10" x14ac:dyDescent="0.4">
      <c r="A79" t="s">
        <v>185</v>
      </c>
      <c r="B79" t="s">
        <v>111</v>
      </c>
      <c r="C79" t="s">
        <v>112</v>
      </c>
      <c r="D79">
        <v>4</v>
      </c>
      <c r="E79">
        <v>4</v>
      </c>
      <c r="F79">
        <v>4</v>
      </c>
      <c r="G79" t="s">
        <v>186</v>
      </c>
      <c r="H79" t="s">
        <v>180</v>
      </c>
      <c r="I79" t="b">
        <v>1</v>
      </c>
      <c r="J79" t="s">
        <v>15</v>
      </c>
    </row>
    <row r="80" spans="1:10" x14ac:dyDescent="0.4">
      <c r="A80" t="s">
        <v>187</v>
      </c>
      <c r="B80" t="s">
        <v>111</v>
      </c>
      <c r="C80" t="s">
        <v>112</v>
      </c>
      <c r="D80">
        <v>0</v>
      </c>
      <c r="E80">
        <v>0</v>
      </c>
      <c r="F80">
        <v>0</v>
      </c>
      <c r="G80" t="s">
        <v>188</v>
      </c>
      <c r="H80" t="s">
        <v>180</v>
      </c>
      <c r="I80" t="b">
        <v>1</v>
      </c>
      <c r="J80" t="s">
        <v>15</v>
      </c>
    </row>
    <row r="81" spans="1:10" x14ac:dyDescent="0.4">
      <c r="A81" t="s">
        <v>189</v>
      </c>
      <c r="B81" t="s">
        <v>111</v>
      </c>
      <c r="C81" t="s">
        <v>112</v>
      </c>
      <c r="D81">
        <v>4</v>
      </c>
      <c r="E81">
        <v>4</v>
      </c>
      <c r="F81">
        <v>4</v>
      </c>
      <c r="G81" t="s">
        <v>190</v>
      </c>
      <c r="H81" t="s">
        <v>191</v>
      </c>
      <c r="I81" t="b">
        <v>1</v>
      </c>
      <c r="J81" t="s">
        <v>15</v>
      </c>
    </row>
    <row r="82" spans="1:10" x14ac:dyDescent="0.4">
      <c r="A82" t="s">
        <v>192</v>
      </c>
      <c r="B82" t="s">
        <v>111</v>
      </c>
      <c r="C82" t="s">
        <v>112</v>
      </c>
      <c r="D82">
        <v>3</v>
      </c>
      <c r="E82">
        <v>3</v>
      </c>
      <c r="F82">
        <v>3</v>
      </c>
      <c r="G82" t="s">
        <v>193</v>
      </c>
      <c r="H82" t="s">
        <v>191</v>
      </c>
      <c r="I82" t="b">
        <v>1</v>
      </c>
      <c r="J82" t="s">
        <v>15</v>
      </c>
    </row>
    <row r="83" spans="1:10" x14ac:dyDescent="0.4">
      <c r="A83" t="s">
        <v>194</v>
      </c>
      <c r="B83" t="s">
        <v>111</v>
      </c>
      <c r="C83" t="s">
        <v>112</v>
      </c>
      <c r="D83">
        <v>5</v>
      </c>
      <c r="E83">
        <v>5</v>
      </c>
      <c r="F83">
        <v>5</v>
      </c>
      <c r="G83" t="s">
        <v>195</v>
      </c>
      <c r="H83" t="s">
        <v>191</v>
      </c>
      <c r="I83" t="b">
        <v>1</v>
      </c>
      <c r="J83" t="s">
        <v>15</v>
      </c>
    </row>
    <row r="84" spans="1:10" x14ac:dyDescent="0.4">
      <c r="A84" t="s">
        <v>196</v>
      </c>
      <c r="B84" t="s">
        <v>111</v>
      </c>
      <c r="C84" t="s">
        <v>112</v>
      </c>
      <c r="D84">
        <v>0</v>
      </c>
      <c r="E84">
        <v>0</v>
      </c>
      <c r="F84">
        <v>0</v>
      </c>
      <c r="G84" t="s">
        <v>197</v>
      </c>
      <c r="H84" t="s">
        <v>191</v>
      </c>
      <c r="I84" t="b">
        <v>1</v>
      </c>
      <c r="J84" t="s">
        <v>15</v>
      </c>
    </row>
    <row r="85" spans="1:10" x14ac:dyDescent="0.4">
      <c r="A85" t="s">
        <v>198</v>
      </c>
      <c r="B85" t="s">
        <v>111</v>
      </c>
      <c r="C85" t="s">
        <v>112</v>
      </c>
      <c r="D85">
        <v>76</v>
      </c>
      <c r="E85">
        <v>100</v>
      </c>
      <c r="F85">
        <v>1</v>
      </c>
      <c r="G85" t="s">
        <v>199</v>
      </c>
      <c r="H85" t="s">
        <v>200</v>
      </c>
      <c r="I85" t="b">
        <v>1</v>
      </c>
      <c r="J85" t="s">
        <v>15</v>
      </c>
    </row>
    <row r="86" spans="1:10" x14ac:dyDescent="0.4">
      <c r="A86" t="s">
        <v>201</v>
      </c>
      <c r="B86" t="s">
        <v>111</v>
      </c>
      <c r="C86" t="s">
        <v>112</v>
      </c>
      <c r="D86">
        <v>50</v>
      </c>
      <c r="E86">
        <v>75</v>
      </c>
      <c r="F86">
        <v>3</v>
      </c>
      <c r="G86" t="s">
        <v>202</v>
      </c>
      <c r="H86" t="s">
        <v>200</v>
      </c>
      <c r="I86" t="b">
        <v>1</v>
      </c>
      <c r="J86" t="s">
        <v>15</v>
      </c>
    </row>
    <row r="87" spans="1:10" x14ac:dyDescent="0.4">
      <c r="A87" t="s">
        <v>203</v>
      </c>
      <c r="B87" t="s">
        <v>111</v>
      </c>
      <c r="C87" t="s">
        <v>112</v>
      </c>
      <c r="D87">
        <v>25</v>
      </c>
      <c r="E87">
        <v>49</v>
      </c>
      <c r="F87">
        <v>4</v>
      </c>
      <c r="G87" t="s">
        <v>204</v>
      </c>
      <c r="H87" t="s">
        <v>200</v>
      </c>
      <c r="I87" t="b">
        <v>1</v>
      </c>
      <c r="J87" t="s">
        <v>15</v>
      </c>
    </row>
    <row r="88" spans="1:10" x14ac:dyDescent="0.4">
      <c r="A88" t="s">
        <v>205</v>
      </c>
      <c r="B88" t="s">
        <v>111</v>
      </c>
      <c r="C88" t="s">
        <v>112</v>
      </c>
      <c r="D88">
        <v>0</v>
      </c>
      <c r="E88">
        <v>24</v>
      </c>
      <c r="F88">
        <v>5</v>
      </c>
      <c r="G88" t="s">
        <v>206</v>
      </c>
      <c r="H88" t="s">
        <v>200</v>
      </c>
      <c r="I88" t="b">
        <v>1</v>
      </c>
      <c r="J88" t="s">
        <v>15</v>
      </c>
    </row>
    <row r="89" spans="1:10" x14ac:dyDescent="0.4">
      <c r="A89" t="s">
        <v>207</v>
      </c>
      <c r="B89" t="s">
        <v>111</v>
      </c>
      <c r="C89" t="s">
        <v>112</v>
      </c>
      <c r="D89">
        <v>0</v>
      </c>
      <c r="E89">
        <v>0</v>
      </c>
      <c r="F89">
        <v>1</v>
      </c>
      <c r="G89" t="s">
        <v>208</v>
      </c>
      <c r="H89" t="s">
        <v>200</v>
      </c>
      <c r="I89" t="b">
        <v>1</v>
      </c>
      <c r="J89" t="s">
        <v>15</v>
      </c>
    </row>
    <row r="90" spans="1:10" x14ac:dyDescent="0.4">
      <c r="A90" t="s">
        <v>209</v>
      </c>
      <c r="B90" t="s">
        <v>111</v>
      </c>
      <c r="C90" t="s">
        <v>112</v>
      </c>
      <c r="D90">
        <v>5</v>
      </c>
      <c r="E90">
        <v>5</v>
      </c>
      <c r="F90">
        <v>5</v>
      </c>
      <c r="G90" t="s">
        <v>210</v>
      </c>
      <c r="H90" t="s">
        <v>211</v>
      </c>
      <c r="I90" t="b">
        <v>1</v>
      </c>
      <c r="J90" t="s">
        <v>15</v>
      </c>
    </row>
    <row r="91" spans="1:10" x14ac:dyDescent="0.4">
      <c r="A91" t="s">
        <v>212</v>
      </c>
      <c r="B91" t="s">
        <v>111</v>
      </c>
      <c r="C91" t="s">
        <v>112</v>
      </c>
      <c r="D91">
        <v>3</v>
      </c>
      <c r="E91">
        <v>3</v>
      </c>
      <c r="F91">
        <v>3</v>
      </c>
      <c r="G91" t="s">
        <v>213</v>
      </c>
      <c r="H91" t="s">
        <v>211</v>
      </c>
      <c r="I91" t="b">
        <v>1</v>
      </c>
      <c r="J91" t="s">
        <v>15</v>
      </c>
    </row>
    <row r="92" spans="1:10" x14ac:dyDescent="0.4">
      <c r="A92" t="s">
        <v>214</v>
      </c>
      <c r="B92" t="s">
        <v>111</v>
      </c>
      <c r="C92" t="s">
        <v>112</v>
      </c>
      <c r="D92">
        <v>0</v>
      </c>
      <c r="E92">
        <v>0</v>
      </c>
      <c r="F92">
        <v>0</v>
      </c>
      <c r="G92" t="s">
        <v>215</v>
      </c>
      <c r="H92" t="s">
        <v>211</v>
      </c>
      <c r="I92" t="b">
        <v>1</v>
      </c>
      <c r="J92" t="s">
        <v>15</v>
      </c>
    </row>
    <row r="93" spans="1:10" x14ac:dyDescent="0.4">
      <c r="A93" t="s">
        <v>216</v>
      </c>
      <c r="B93" t="s">
        <v>111</v>
      </c>
      <c r="C93" t="s">
        <v>112</v>
      </c>
      <c r="D93">
        <v>0</v>
      </c>
      <c r="E93">
        <v>0</v>
      </c>
      <c r="F93">
        <v>1</v>
      </c>
      <c r="G93" t="s">
        <v>215</v>
      </c>
      <c r="H93" t="s">
        <v>217</v>
      </c>
      <c r="I93" t="b">
        <v>1</v>
      </c>
      <c r="J93" t="s">
        <v>15</v>
      </c>
    </row>
    <row r="94" spans="1:10" x14ac:dyDescent="0.4">
      <c r="A94" t="s">
        <v>218</v>
      </c>
      <c r="B94" t="s">
        <v>111</v>
      </c>
      <c r="C94" t="s">
        <v>112</v>
      </c>
      <c r="D94">
        <v>1</v>
      </c>
      <c r="E94">
        <v>150000</v>
      </c>
      <c r="F94">
        <v>2</v>
      </c>
      <c r="G94" t="s">
        <v>219</v>
      </c>
      <c r="H94" t="s">
        <v>217</v>
      </c>
      <c r="I94" t="b">
        <v>1</v>
      </c>
      <c r="J94" t="s">
        <v>15</v>
      </c>
    </row>
    <row r="95" spans="1:10" x14ac:dyDescent="0.4">
      <c r="A95" t="s">
        <v>220</v>
      </c>
      <c r="B95" t="s">
        <v>111</v>
      </c>
      <c r="C95" t="s">
        <v>112</v>
      </c>
      <c r="D95">
        <v>150001</v>
      </c>
      <c r="E95">
        <v>500000</v>
      </c>
      <c r="F95">
        <v>3</v>
      </c>
      <c r="G95" t="s">
        <v>221</v>
      </c>
      <c r="H95" t="s">
        <v>217</v>
      </c>
      <c r="I95" t="b">
        <v>1</v>
      </c>
      <c r="J95" t="s">
        <v>15</v>
      </c>
    </row>
    <row r="96" spans="1:10" x14ac:dyDescent="0.4">
      <c r="A96" t="s">
        <v>222</v>
      </c>
      <c r="B96" t="s">
        <v>111</v>
      </c>
      <c r="C96" t="s">
        <v>112</v>
      </c>
      <c r="D96">
        <v>500001</v>
      </c>
      <c r="E96">
        <v>1000000</v>
      </c>
      <c r="F96">
        <v>4</v>
      </c>
      <c r="G96" t="s">
        <v>223</v>
      </c>
      <c r="H96" t="s">
        <v>217</v>
      </c>
      <c r="I96" t="b">
        <v>1</v>
      </c>
      <c r="J96" t="s">
        <v>15</v>
      </c>
    </row>
    <row r="97" spans="1:10" x14ac:dyDescent="0.4">
      <c r="A97" t="s">
        <v>224</v>
      </c>
      <c r="B97" t="s">
        <v>111</v>
      </c>
      <c r="C97" t="s">
        <v>112</v>
      </c>
      <c r="D97">
        <v>1000001</v>
      </c>
      <c r="E97">
        <v>100000000</v>
      </c>
      <c r="F97">
        <v>5</v>
      </c>
      <c r="G97" t="s">
        <v>225</v>
      </c>
      <c r="H97" t="s">
        <v>217</v>
      </c>
      <c r="I97" t="b">
        <v>1</v>
      </c>
      <c r="J97" t="s">
        <v>15</v>
      </c>
    </row>
    <row r="98" spans="1:10" x14ac:dyDescent="0.4">
      <c r="A98" t="s">
        <v>226</v>
      </c>
      <c r="B98" t="s">
        <v>111</v>
      </c>
      <c r="C98" t="s">
        <v>112</v>
      </c>
      <c r="D98">
        <v>0</v>
      </c>
      <c r="E98">
        <v>0</v>
      </c>
      <c r="F98">
        <v>1</v>
      </c>
      <c r="G98" t="s">
        <v>215</v>
      </c>
      <c r="H98" t="s">
        <v>227</v>
      </c>
      <c r="I98" t="b">
        <v>1</v>
      </c>
      <c r="J98" t="s">
        <v>15</v>
      </c>
    </row>
    <row r="99" spans="1:10" x14ac:dyDescent="0.4">
      <c r="A99" t="s">
        <v>228</v>
      </c>
      <c r="B99" t="s">
        <v>111</v>
      </c>
      <c r="C99" t="s">
        <v>112</v>
      </c>
      <c r="D99">
        <v>1</v>
      </c>
      <c r="E99">
        <v>150000</v>
      </c>
      <c r="F99">
        <v>2</v>
      </c>
      <c r="G99" t="s">
        <v>219</v>
      </c>
      <c r="H99" t="s">
        <v>227</v>
      </c>
      <c r="I99" t="b">
        <v>1</v>
      </c>
      <c r="J99" t="s">
        <v>15</v>
      </c>
    </row>
    <row r="100" spans="1:10" x14ac:dyDescent="0.4">
      <c r="A100" t="s">
        <v>229</v>
      </c>
      <c r="B100" t="s">
        <v>111</v>
      </c>
      <c r="C100" t="s">
        <v>112</v>
      </c>
      <c r="D100">
        <v>150001</v>
      </c>
      <c r="E100">
        <v>500000</v>
      </c>
      <c r="F100">
        <v>3</v>
      </c>
      <c r="G100" t="s">
        <v>221</v>
      </c>
      <c r="H100" t="s">
        <v>227</v>
      </c>
      <c r="I100" t="b">
        <v>1</v>
      </c>
      <c r="J100" t="s">
        <v>15</v>
      </c>
    </row>
    <row r="101" spans="1:10" x14ac:dyDescent="0.4">
      <c r="A101" t="s">
        <v>230</v>
      </c>
      <c r="B101" t="s">
        <v>111</v>
      </c>
      <c r="C101" t="s">
        <v>112</v>
      </c>
      <c r="D101">
        <v>500001</v>
      </c>
      <c r="E101">
        <v>1000000</v>
      </c>
      <c r="F101">
        <v>4</v>
      </c>
      <c r="G101" t="s">
        <v>223</v>
      </c>
      <c r="H101" t="s">
        <v>227</v>
      </c>
      <c r="I101" t="b">
        <v>1</v>
      </c>
      <c r="J101" t="s">
        <v>15</v>
      </c>
    </row>
    <row r="102" spans="1:10" x14ac:dyDescent="0.4">
      <c r="A102" t="s">
        <v>231</v>
      </c>
      <c r="B102" t="s">
        <v>111</v>
      </c>
      <c r="C102" t="s">
        <v>112</v>
      </c>
      <c r="D102">
        <v>1000001</v>
      </c>
      <c r="E102">
        <v>100000000</v>
      </c>
      <c r="F102">
        <v>5</v>
      </c>
      <c r="G102" t="s">
        <v>225</v>
      </c>
      <c r="H102" t="s">
        <v>227</v>
      </c>
      <c r="I102" t="b">
        <v>1</v>
      </c>
      <c r="J102" t="s">
        <v>15</v>
      </c>
    </row>
    <row r="103" spans="1:10" x14ac:dyDescent="0.4">
      <c r="A103" t="s">
        <v>232</v>
      </c>
      <c r="B103" t="s">
        <v>233</v>
      </c>
      <c r="C103" t="s">
        <v>234</v>
      </c>
      <c r="D103">
        <v>0</v>
      </c>
      <c r="E103">
        <v>29.99</v>
      </c>
      <c r="F103">
        <v>5</v>
      </c>
      <c r="G103" t="s">
        <v>25</v>
      </c>
      <c r="H103" t="s">
        <v>235</v>
      </c>
      <c r="I103" t="b">
        <v>1</v>
      </c>
      <c r="J103" t="s">
        <v>15</v>
      </c>
    </row>
    <row r="104" spans="1:10" x14ac:dyDescent="0.4">
      <c r="A104" t="s">
        <v>236</v>
      </c>
      <c r="B104" t="s">
        <v>233</v>
      </c>
      <c r="C104" t="s">
        <v>234</v>
      </c>
      <c r="D104">
        <v>60.01</v>
      </c>
      <c r="E104">
        <v>70</v>
      </c>
      <c r="F104">
        <v>2</v>
      </c>
      <c r="G104" t="s">
        <v>237</v>
      </c>
      <c r="H104" t="s">
        <v>235</v>
      </c>
      <c r="I104" t="b">
        <v>1</v>
      </c>
      <c r="J104" t="s">
        <v>15</v>
      </c>
    </row>
    <row r="105" spans="1:10" x14ac:dyDescent="0.4">
      <c r="A105" t="s">
        <v>238</v>
      </c>
      <c r="B105" t="s">
        <v>233</v>
      </c>
      <c r="C105" t="s">
        <v>234</v>
      </c>
      <c r="D105">
        <v>70.010000000000005</v>
      </c>
      <c r="E105">
        <v>1000</v>
      </c>
      <c r="F105">
        <v>0</v>
      </c>
      <c r="G105" t="s">
        <v>239</v>
      </c>
      <c r="H105" t="s">
        <v>235</v>
      </c>
      <c r="I105" t="b">
        <v>1</v>
      </c>
      <c r="J105" t="s">
        <v>15</v>
      </c>
    </row>
    <row r="106" spans="1:10" x14ac:dyDescent="0.4">
      <c r="A106" t="s">
        <v>240</v>
      </c>
      <c r="B106" t="s">
        <v>233</v>
      </c>
      <c r="C106" t="s">
        <v>234</v>
      </c>
      <c r="D106">
        <v>30</v>
      </c>
      <c r="E106">
        <v>50</v>
      </c>
      <c r="F106">
        <v>4</v>
      </c>
      <c r="G106" t="s">
        <v>241</v>
      </c>
      <c r="H106" t="s">
        <v>235</v>
      </c>
      <c r="I106" t="b">
        <v>1</v>
      </c>
      <c r="J106" t="s">
        <v>15</v>
      </c>
    </row>
    <row r="107" spans="1:10" x14ac:dyDescent="0.4">
      <c r="A107" t="s">
        <v>242</v>
      </c>
      <c r="B107" t="s">
        <v>233</v>
      </c>
      <c r="C107" t="s">
        <v>234</v>
      </c>
      <c r="D107">
        <v>50</v>
      </c>
      <c r="E107">
        <v>60</v>
      </c>
      <c r="F107">
        <v>3</v>
      </c>
      <c r="G107" t="s">
        <v>243</v>
      </c>
      <c r="H107" t="s">
        <v>235</v>
      </c>
      <c r="I107" t="b">
        <v>1</v>
      </c>
      <c r="J107" t="s">
        <v>15</v>
      </c>
    </row>
    <row r="108" spans="1:10" x14ac:dyDescent="0.4">
      <c r="A108" t="s">
        <v>244</v>
      </c>
      <c r="B108" t="s">
        <v>233</v>
      </c>
      <c r="C108" t="s">
        <v>234</v>
      </c>
      <c r="D108">
        <v>4</v>
      </c>
      <c r="E108">
        <v>4</v>
      </c>
      <c r="F108">
        <v>4</v>
      </c>
      <c r="G108" t="s">
        <v>245</v>
      </c>
      <c r="H108" t="s">
        <v>246</v>
      </c>
      <c r="I108" t="b">
        <v>1</v>
      </c>
      <c r="J108" t="s">
        <v>247</v>
      </c>
    </row>
    <row r="109" spans="1:10" x14ac:dyDescent="0.4">
      <c r="A109" t="s">
        <v>248</v>
      </c>
      <c r="B109" t="s">
        <v>233</v>
      </c>
      <c r="C109" t="s">
        <v>234</v>
      </c>
      <c r="D109">
        <v>3</v>
      </c>
      <c r="E109">
        <v>3</v>
      </c>
      <c r="F109">
        <v>5</v>
      </c>
      <c r="G109" t="s">
        <v>249</v>
      </c>
      <c r="H109" t="s">
        <v>246</v>
      </c>
      <c r="I109" t="b">
        <v>1</v>
      </c>
      <c r="J109" t="s">
        <v>250</v>
      </c>
    </row>
    <row r="110" spans="1:10" x14ac:dyDescent="0.4">
      <c r="A110" t="s">
        <v>251</v>
      </c>
      <c r="B110" t="s">
        <v>233</v>
      </c>
      <c r="C110" t="s">
        <v>234</v>
      </c>
      <c r="D110">
        <v>2</v>
      </c>
      <c r="E110">
        <v>2</v>
      </c>
      <c r="F110">
        <v>3</v>
      </c>
      <c r="G110" t="s">
        <v>252</v>
      </c>
      <c r="H110" t="s">
        <v>246</v>
      </c>
      <c r="I110" t="b">
        <v>1</v>
      </c>
      <c r="J110" t="s">
        <v>253</v>
      </c>
    </row>
    <row r="111" spans="1:10" x14ac:dyDescent="0.4">
      <c r="A111" t="s">
        <v>254</v>
      </c>
      <c r="B111" t="s">
        <v>233</v>
      </c>
      <c r="C111" t="s">
        <v>234</v>
      </c>
      <c r="D111">
        <v>5</v>
      </c>
      <c r="E111">
        <v>5</v>
      </c>
      <c r="F111">
        <v>5</v>
      </c>
      <c r="G111" t="s">
        <v>255</v>
      </c>
      <c r="H111" t="s">
        <v>246</v>
      </c>
      <c r="I111" t="b">
        <v>1</v>
      </c>
      <c r="J111" t="s">
        <v>256</v>
      </c>
    </row>
    <row r="112" spans="1:10" x14ac:dyDescent="0.4">
      <c r="A112" t="s">
        <v>257</v>
      </c>
      <c r="B112" t="s">
        <v>233</v>
      </c>
      <c r="C112" t="s">
        <v>234</v>
      </c>
      <c r="D112">
        <v>5</v>
      </c>
      <c r="E112">
        <v>5</v>
      </c>
      <c r="F112">
        <v>5</v>
      </c>
      <c r="G112" t="s">
        <v>258</v>
      </c>
      <c r="H112" t="s">
        <v>246</v>
      </c>
      <c r="I112" t="b">
        <v>1</v>
      </c>
      <c r="J112" t="s">
        <v>259</v>
      </c>
    </row>
    <row r="113" spans="1:10" x14ac:dyDescent="0.4">
      <c r="A113" t="s">
        <v>260</v>
      </c>
      <c r="B113" t="s">
        <v>233</v>
      </c>
      <c r="C113" t="s">
        <v>234</v>
      </c>
      <c r="D113">
        <v>5</v>
      </c>
      <c r="E113">
        <v>5</v>
      </c>
      <c r="F113">
        <v>5</v>
      </c>
      <c r="G113" t="s">
        <v>261</v>
      </c>
      <c r="H113" t="s">
        <v>262</v>
      </c>
      <c r="I113" t="b">
        <v>1</v>
      </c>
      <c r="J113" t="s">
        <v>15</v>
      </c>
    </row>
    <row r="114" spans="1:10" x14ac:dyDescent="0.4">
      <c r="A114" t="s">
        <v>263</v>
      </c>
      <c r="B114" t="s">
        <v>233</v>
      </c>
      <c r="C114" t="s">
        <v>234</v>
      </c>
      <c r="D114">
        <v>2</v>
      </c>
      <c r="E114">
        <v>2</v>
      </c>
      <c r="F114">
        <v>2</v>
      </c>
      <c r="G114" t="s">
        <v>264</v>
      </c>
      <c r="H114" t="s">
        <v>262</v>
      </c>
      <c r="I114" t="b">
        <v>1</v>
      </c>
      <c r="J114" t="s">
        <v>15</v>
      </c>
    </row>
    <row r="115" spans="1:10" x14ac:dyDescent="0.4">
      <c r="A115" t="s">
        <v>265</v>
      </c>
      <c r="B115" t="s">
        <v>233</v>
      </c>
      <c r="C115" t="s">
        <v>234</v>
      </c>
      <c r="D115">
        <v>2</v>
      </c>
      <c r="E115">
        <v>2</v>
      </c>
      <c r="F115">
        <v>2</v>
      </c>
      <c r="G115" t="s">
        <v>261</v>
      </c>
      <c r="H115" t="s">
        <v>266</v>
      </c>
      <c r="I115" t="b">
        <v>1</v>
      </c>
      <c r="J115" t="s">
        <v>15</v>
      </c>
    </row>
    <row r="116" spans="1:10" x14ac:dyDescent="0.4">
      <c r="A116" t="s">
        <v>267</v>
      </c>
      <c r="B116" t="s">
        <v>233</v>
      </c>
      <c r="C116" t="s">
        <v>234</v>
      </c>
      <c r="D116">
        <v>5</v>
      </c>
      <c r="E116">
        <v>5</v>
      </c>
      <c r="F116">
        <v>5</v>
      </c>
      <c r="G116" t="s">
        <v>264</v>
      </c>
      <c r="H116" t="s">
        <v>266</v>
      </c>
      <c r="I116" t="b">
        <v>1</v>
      </c>
      <c r="J116" t="s">
        <v>15</v>
      </c>
    </row>
    <row r="117" spans="1:10" x14ac:dyDescent="0.4">
      <c r="A117" t="s">
        <v>268</v>
      </c>
      <c r="B117" t="s">
        <v>233</v>
      </c>
      <c r="C117" t="s">
        <v>234</v>
      </c>
      <c r="D117">
        <v>2</v>
      </c>
      <c r="E117">
        <v>2</v>
      </c>
      <c r="F117">
        <v>2</v>
      </c>
      <c r="G117" t="s">
        <v>261</v>
      </c>
      <c r="H117" t="s">
        <v>269</v>
      </c>
      <c r="I117" t="b">
        <v>1</v>
      </c>
      <c r="J117" t="s">
        <v>15</v>
      </c>
    </row>
    <row r="118" spans="1:10" x14ac:dyDescent="0.4">
      <c r="A118" t="s">
        <v>270</v>
      </c>
      <c r="B118" t="s">
        <v>233</v>
      </c>
      <c r="C118" t="s">
        <v>234</v>
      </c>
      <c r="D118">
        <v>5</v>
      </c>
      <c r="E118">
        <v>5</v>
      </c>
      <c r="F118">
        <v>5</v>
      </c>
      <c r="G118" t="s">
        <v>264</v>
      </c>
      <c r="H118" t="s">
        <v>269</v>
      </c>
      <c r="I118" t="b">
        <v>1</v>
      </c>
      <c r="J118" t="s">
        <v>15</v>
      </c>
    </row>
    <row r="119" spans="1:10" x14ac:dyDescent="0.4">
      <c r="A119" t="s">
        <v>271</v>
      </c>
      <c r="B119" t="s">
        <v>233</v>
      </c>
      <c r="C119" t="s">
        <v>234</v>
      </c>
      <c r="D119">
        <v>2</v>
      </c>
      <c r="E119">
        <v>2</v>
      </c>
      <c r="F119">
        <v>2</v>
      </c>
      <c r="G119" t="s">
        <v>261</v>
      </c>
      <c r="H119" t="s">
        <v>272</v>
      </c>
      <c r="I119" t="b">
        <v>1</v>
      </c>
      <c r="J119" t="s">
        <v>15</v>
      </c>
    </row>
    <row r="120" spans="1:10" x14ac:dyDescent="0.4">
      <c r="A120" t="s">
        <v>273</v>
      </c>
      <c r="B120" t="s">
        <v>233</v>
      </c>
      <c r="C120" t="s">
        <v>234</v>
      </c>
      <c r="D120">
        <v>5</v>
      </c>
      <c r="E120">
        <v>5</v>
      </c>
      <c r="F120">
        <v>5</v>
      </c>
      <c r="G120" t="s">
        <v>264</v>
      </c>
      <c r="H120" t="s">
        <v>272</v>
      </c>
      <c r="I120" t="b">
        <v>1</v>
      </c>
      <c r="J120" t="s">
        <v>15</v>
      </c>
    </row>
    <row r="121" spans="1:10" x14ac:dyDescent="0.4">
      <c r="A121" t="s">
        <v>274</v>
      </c>
      <c r="B121" t="s">
        <v>233</v>
      </c>
      <c r="C121" t="s">
        <v>234</v>
      </c>
      <c r="D121">
        <v>5</v>
      </c>
      <c r="E121">
        <v>5</v>
      </c>
      <c r="F121">
        <v>5</v>
      </c>
      <c r="G121" t="s">
        <v>275</v>
      </c>
      <c r="H121" t="s">
        <v>276</v>
      </c>
      <c r="I121" t="b">
        <v>1</v>
      </c>
      <c r="J121" t="s">
        <v>15</v>
      </c>
    </row>
    <row r="122" spans="1:10" x14ac:dyDescent="0.4">
      <c r="A122" t="s">
        <v>277</v>
      </c>
      <c r="B122" t="s">
        <v>233</v>
      </c>
      <c r="C122" t="s">
        <v>234</v>
      </c>
      <c r="D122">
        <v>4</v>
      </c>
      <c r="E122">
        <v>4</v>
      </c>
      <c r="F122">
        <v>4</v>
      </c>
      <c r="G122" t="s">
        <v>278</v>
      </c>
      <c r="H122" t="s">
        <v>276</v>
      </c>
      <c r="I122" t="b">
        <v>1</v>
      </c>
      <c r="J122" t="s">
        <v>15</v>
      </c>
    </row>
    <row r="123" spans="1:10" x14ac:dyDescent="0.4">
      <c r="A123" t="s">
        <v>279</v>
      </c>
      <c r="B123" t="s">
        <v>233</v>
      </c>
      <c r="C123" t="s">
        <v>234</v>
      </c>
      <c r="D123">
        <v>3</v>
      </c>
      <c r="E123">
        <v>3</v>
      </c>
      <c r="F123">
        <v>3</v>
      </c>
      <c r="G123" t="s">
        <v>280</v>
      </c>
      <c r="H123" t="s">
        <v>281</v>
      </c>
      <c r="I123" t="b">
        <v>1</v>
      </c>
      <c r="J123" t="s">
        <v>15</v>
      </c>
    </row>
    <row r="124" spans="1:10" x14ac:dyDescent="0.4">
      <c r="A124" t="s">
        <v>282</v>
      </c>
      <c r="B124" t="s">
        <v>233</v>
      </c>
      <c r="C124" t="s">
        <v>234</v>
      </c>
      <c r="D124">
        <v>5</v>
      </c>
      <c r="E124">
        <v>5</v>
      </c>
      <c r="F124">
        <v>5</v>
      </c>
      <c r="G124" t="s">
        <v>283</v>
      </c>
      <c r="H124" t="s">
        <v>281</v>
      </c>
      <c r="I124" t="b">
        <v>1</v>
      </c>
      <c r="J124" t="s">
        <v>15</v>
      </c>
    </row>
    <row r="125" spans="1:10" x14ac:dyDescent="0.4">
      <c r="A125" t="s">
        <v>284</v>
      </c>
      <c r="B125" t="s">
        <v>285</v>
      </c>
      <c r="C125" t="s">
        <v>286</v>
      </c>
      <c r="D125">
        <v>5</v>
      </c>
      <c r="E125">
        <v>5</v>
      </c>
      <c r="F125">
        <v>5</v>
      </c>
      <c r="G125" t="s">
        <v>287</v>
      </c>
      <c r="H125" t="s">
        <v>288</v>
      </c>
      <c r="I125" t="b">
        <v>0</v>
      </c>
      <c r="J125" t="s">
        <v>15</v>
      </c>
    </row>
    <row r="126" spans="1:10" x14ac:dyDescent="0.4">
      <c r="A126" t="s">
        <v>289</v>
      </c>
      <c r="B126" t="s">
        <v>285</v>
      </c>
      <c r="C126" t="s">
        <v>286</v>
      </c>
      <c r="D126">
        <v>4</v>
      </c>
      <c r="E126">
        <v>4</v>
      </c>
      <c r="F126">
        <v>4</v>
      </c>
      <c r="G126" t="s">
        <v>290</v>
      </c>
      <c r="H126" t="s">
        <v>288</v>
      </c>
      <c r="I126" t="b">
        <v>0</v>
      </c>
      <c r="J126" t="s">
        <v>15</v>
      </c>
    </row>
    <row r="127" spans="1:10" x14ac:dyDescent="0.4">
      <c r="A127" t="s">
        <v>291</v>
      </c>
      <c r="B127" t="s">
        <v>285</v>
      </c>
      <c r="C127" t="s">
        <v>286</v>
      </c>
      <c r="D127">
        <v>4</v>
      </c>
      <c r="E127">
        <v>4</v>
      </c>
      <c r="F127">
        <v>4</v>
      </c>
      <c r="G127" t="s">
        <v>292</v>
      </c>
      <c r="H127" t="s">
        <v>288</v>
      </c>
      <c r="I127" t="b">
        <v>0</v>
      </c>
      <c r="J127" t="s">
        <v>15</v>
      </c>
    </row>
    <row r="128" spans="1:10" x14ac:dyDescent="0.4">
      <c r="A128" t="s">
        <v>293</v>
      </c>
      <c r="B128" t="s">
        <v>285</v>
      </c>
      <c r="C128" t="s">
        <v>286</v>
      </c>
      <c r="D128">
        <v>3</v>
      </c>
      <c r="E128">
        <v>3</v>
      </c>
      <c r="F128">
        <v>3</v>
      </c>
      <c r="G128" t="s">
        <v>294</v>
      </c>
      <c r="H128" t="s">
        <v>288</v>
      </c>
      <c r="I128" t="b">
        <v>0</v>
      </c>
      <c r="J128" t="s">
        <v>15</v>
      </c>
    </row>
    <row r="129" spans="1:10" x14ac:dyDescent="0.4">
      <c r="A129" t="s">
        <v>295</v>
      </c>
      <c r="B129" t="s">
        <v>285</v>
      </c>
      <c r="C129" t="s">
        <v>286</v>
      </c>
      <c r="D129">
        <v>5</v>
      </c>
      <c r="E129">
        <v>5</v>
      </c>
      <c r="F129">
        <v>5</v>
      </c>
      <c r="G129" t="s">
        <v>296</v>
      </c>
      <c r="H129" t="s">
        <v>297</v>
      </c>
      <c r="I129" t="b">
        <v>1</v>
      </c>
      <c r="J129" t="s">
        <v>15</v>
      </c>
    </row>
    <row r="130" spans="1:10" x14ac:dyDescent="0.4">
      <c r="A130" t="s">
        <v>298</v>
      </c>
      <c r="B130" t="s">
        <v>285</v>
      </c>
      <c r="C130" t="s">
        <v>286</v>
      </c>
      <c r="D130">
        <v>4</v>
      </c>
      <c r="E130">
        <v>4</v>
      </c>
      <c r="F130">
        <v>4</v>
      </c>
      <c r="G130" t="s">
        <v>299</v>
      </c>
      <c r="H130" t="s">
        <v>297</v>
      </c>
      <c r="I130" t="b">
        <v>1</v>
      </c>
      <c r="J130" t="s">
        <v>15</v>
      </c>
    </row>
    <row r="131" spans="1:10" x14ac:dyDescent="0.4">
      <c r="A131" t="s">
        <v>300</v>
      </c>
      <c r="B131" t="s">
        <v>285</v>
      </c>
      <c r="C131" t="s">
        <v>286</v>
      </c>
      <c r="D131">
        <v>3</v>
      </c>
      <c r="E131">
        <v>3</v>
      </c>
      <c r="F131">
        <v>3</v>
      </c>
      <c r="G131" t="s">
        <v>301</v>
      </c>
      <c r="H131" t="s">
        <v>297</v>
      </c>
      <c r="I131" t="b">
        <v>1</v>
      </c>
      <c r="J131" t="s">
        <v>15</v>
      </c>
    </row>
    <row r="132" spans="1:10" x14ac:dyDescent="0.4">
      <c r="A132" t="s">
        <v>302</v>
      </c>
      <c r="B132" t="s">
        <v>285</v>
      </c>
      <c r="C132" t="s">
        <v>286</v>
      </c>
      <c r="D132">
        <v>2</v>
      </c>
      <c r="E132">
        <v>2</v>
      </c>
      <c r="F132">
        <v>2</v>
      </c>
      <c r="G132" t="s">
        <v>303</v>
      </c>
      <c r="H132" t="s">
        <v>297</v>
      </c>
      <c r="I132" t="b">
        <v>1</v>
      </c>
      <c r="J132" t="s">
        <v>15</v>
      </c>
    </row>
    <row r="133" spans="1:10" x14ac:dyDescent="0.4">
      <c r="A133" t="s">
        <v>304</v>
      </c>
      <c r="B133" t="s">
        <v>285</v>
      </c>
      <c r="C133" t="s">
        <v>286</v>
      </c>
      <c r="D133">
        <v>1</v>
      </c>
      <c r="E133">
        <v>1</v>
      </c>
      <c r="F133">
        <v>1</v>
      </c>
      <c r="G133" t="s">
        <v>305</v>
      </c>
      <c r="H133" t="s">
        <v>297</v>
      </c>
      <c r="I133" t="b">
        <v>1</v>
      </c>
      <c r="J133" t="s">
        <v>15</v>
      </c>
    </row>
    <row r="134" spans="1:10" x14ac:dyDescent="0.4">
      <c r="A134" t="s">
        <v>306</v>
      </c>
      <c r="B134" t="s">
        <v>285</v>
      </c>
      <c r="C134" t="s">
        <v>286</v>
      </c>
      <c r="D134">
        <v>5</v>
      </c>
      <c r="E134">
        <v>5</v>
      </c>
      <c r="F134">
        <v>5</v>
      </c>
      <c r="G134" t="s">
        <v>307</v>
      </c>
      <c r="H134" t="s">
        <v>297</v>
      </c>
      <c r="I134" t="b">
        <v>1</v>
      </c>
      <c r="J134" t="s">
        <v>15</v>
      </c>
    </row>
    <row r="135" spans="1:10" x14ac:dyDescent="0.4">
      <c r="A135" t="s">
        <v>308</v>
      </c>
      <c r="B135" t="s">
        <v>285</v>
      </c>
      <c r="C135" t="s">
        <v>286</v>
      </c>
      <c r="D135">
        <v>4</v>
      </c>
      <c r="E135">
        <v>4</v>
      </c>
      <c r="F135">
        <v>4</v>
      </c>
      <c r="G135" t="s">
        <v>309</v>
      </c>
      <c r="H135" t="s">
        <v>297</v>
      </c>
      <c r="I135" t="b">
        <v>1</v>
      </c>
      <c r="J135" t="s">
        <v>15</v>
      </c>
    </row>
    <row r="136" spans="1:10" x14ac:dyDescent="0.4">
      <c r="A136" t="s">
        <v>310</v>
      </c>
      <c r="B136" t="s">
        <v>285</v>
      </c>
      <c r="C136" t="s">
        <v>286</v>
      </c>
      <c r="D136">
        <v>3</v>
      </c>
      <c r="E136">
        <v>3</v>
      </c>
      <c r="F136">
        <v>3</v>
      </c>
      <c r="G136" t="s">
        <v>311</v>
      </c>
      <c r="H136" t="s">
        <v>297</v>
      </c>
      <c r="I136" t="b">
        <v>1</v>
      </c>
      <c r="J136" t="s">
        <v>15</v>
      </c>
    </row>
    <row r="137" spans="1:10" x14ac:dyDescent="0.4">
      <c r="A137" t="s">
        <v>312</v>
      </c>
      <c r="B137" t="s">
        <v>285</v>
      </c>
      <c r="C137" t="s">
        <v>286</v>
      </c>
      <c r="D137">
        <v>2</v>
      </c>
      <c r="E137">
        <v>2</v>
      </c>
      <c r="F137">
        <v>2</v>
      </c>
      <c r="G137" t="s">
        <v>313</v>
      </c>
      <c r="H137" t="s">
        <v>297</v>
      </c>
      <c r="I137" t="b">
        <v>1</v>
      </c>
      <c r="J137" t="s">
        <v>15</v>
      </c>
    </row>
    <row r="138" spans="1:10" x14ac:dyDescent="0.4">
      <c r="A138" t="s">
        <v>314</v>
      </c>
      <c r="B138" t="s">
        <v>285</v>
      </c>
      <c r="C138" t="s">
        <v>286</v>
      </c>
      <c r="D138">
        <v>1</v>
      </c>
      <c r="E138">
        <v>1</v>
      </c>
      <c r="F138">
        <v>1</v>
      </c>
      <c r="G138" t="s">
        <v>315</v>
      </c>
      <c r="H138" t="s">
        <v>297</v>
      </c>
      <c r="I138" t="b">
        <v>1</v>
      </c>
      <c r="J138" t="s">
        <v>15</v>
      </c>
    </row>
    <row r="139" spans="1:10" x14ac:dyDescent="0.4">
      <c r="A139" t="s">
        <v>316</v>
      </c>
      <c r="B139" t="s">
        <v>285</v>
      </c>
      <c r="C139" t="s">
        <v>286</v>
      </c>
      <c r="D139">
        <v>5</v>
      </c>
      <c r="E139">
        <v>5</v>
      </c>
      <c r="F139">
        <v>5</v>
      </c>
      <c r="G139" t="s">
        <v>317</v>
      </c>
      <c r="H139" t="s">
        <v>297</v>
      </c>
      <c r="I139" t="b">
        <v>1</v>
      </c>
      <c r="J139" t="s">
        <v>15</v>
      </c>
    </row>
    <row r="140" spans="1:10" x14ac:dyDescent="0.4">
      <c r="A140" t="s">
        <v>318</v>
      </c>
      <c r="B140" t="s">
        <v>285</v>
      </c>
      <c r="C140" t="s">
        <v>286</v>
      </c>
      <c r="D140">
        <v>4</v>
      </c>
      <c r="E140">
        <v>4</v>
      </c>
      <c r="F140">
        <v>4</v>
      </c>
      <c r="G140" t="s">
        <v>319</v>
      </c>
      <c r="H140" t="s">
        <v>297</v>
      </c>
      <c r="I140" t="b">
        <v>1</v>
      </c>
      <c r="J140" t="s">
        <v>15</v>
      </c>
    </row>
    <row r="141" spans="1:10" x14ac:dyDescent="0.4">
      <c r="A141" t="s">
        <v>320</v>
      </c>
      <c r="B141" t="s">
        <v>285</v>
      </c>
      <c r="C141" t="s">
        <v>286</v>
      </c>
      <c r="D141">
        <v>3</v>
      </c>
      <c r="E141">
        <v>3</v>
      </c>
      <c r="F141">
        <v>3</v>
      </c>
      <c r="G141" t="s">
        <v>321</v>
      </c>
      <c r="H141" t="s">
        <v>297</v>
      </c>
      <c r="I141" t="b">
        <v>1</v>
      </c>
      <c r="J141" t="s">
        <v>15</v>
      </c>
    </row>
    <row r="142" spans="1:10" x14ac:dyDescent="0.4">
      <c r="A142" t="s">
        <v>322</v>
      </c>
      <c r="B142" t="s">
        <v>285</v>
      </c>
      <c r="C142" t="s">
        <v>286</v>
      </c>
      <c r="D142">
        <v>2</v>
      </c>
      <c r="E142">
        <v>2</v>
      </c>
      <c r="F142">
        <v>2</v>
      </c>
      <c r="G142" t="s">
        <v>323</v>
      </c>
      <c r="H142" t="s">
        <v>297</v>
      </c>
      <c r="I142" t="b">
        <v>1</v>
      </c>
      <c r="J142" t="s">
        <v>15</v>
      </c>
    </row>
    <row r="143" spans="1:10" x14ac:dyDescent="0.4">
      <c r="A143" t="s">
        <v>324</v>
      </c>
      <c r="B143" t="s">
        <v>285</v>
      </c>
      <c r="C143" t="s">
        <v>286</v>
      </c>
      <c r="D143">
        <v>1</v>
      </c>
      <c r="E143">
        <v>1</v>
      </c>
      <c r="F143">
        <v>1</v>
      </c>
      <c r="G143" t="s">
        <v>325</v>
      </c>
      <c r="H143" t="s">
        <v>297</v>
      </c>
      <c r="I143" t="b">
        <v>1</v>
      </c>
      <c r="J143" t="s">
        <v>15</v>
      </c>
    </row>
    <row r="144" spans="1:10" x14ac:dyDescent="0.4">
      <c r="A144" t="s">
        <v>326</v>
      </c>
      <c r="B144" t="s">
        <v>285</v>
      </c>
      <c r="C144" t="s">
        <v>286</v>
      </c>
      <c r="D144">
        <v>5</v>
      </c>
      <c r="E144">
        <v>5</v>
      </c>
      <c r="F144">
        <v>5</v>
      </c>
      <c r="G144" t="s">
        <v>327</v>
      </c>
      <c r="H144" t="s">
        <v>297</v>
      </c>
      <c r="I144" t="b">
        <v>1</v>
      </c>
      <c r="J144" t="s">
        <v>15</v>
      </c>
    </row>
    <row r="145" spans="1:10" x14ac:dyDescent="0.4">
      <c r="A145" t="s">
        <v>328</v>
      </c>
      <c r="B145" t="s">
        <v>285</v>
      </c>
      <c r="C145" t="s">
        <v>286</v>
      </c>
      <c r="D145">
        <v>4</v>
      </c>
      <c r="E145">
        <v>4</v>
      </c>
      <c r="F145">
        <v>4</v>
      </c>
      <c r="G145" t="s">
        <v>329</v>
      </c>
      <c r="H145" t="s">
        <v>297</v>
      </c>
      <c r="I145" t="b">
        <v>1</v>
      </c>
      <c r="J145" t="s">
        <v>15</v>
      </c>
    </row>
    <row r="146" spans="1:10" x14ac:dyDescent="0.4">
      <c r="A146" t="s">
        <v>330</v>
      </c>
      <c r="B146" t="s">
        <v>285</v>
      </c>
      <c r="C146" t="s">
        <v>286</v>
      </c>
      <c r="D146">
        <v>3</v>
      </c>
      <c r="E146">
        <v>3</v>
      </c>
      <c r="F146">
        <v>3</v>
      </c>
      <c r="G146" t="s">
        <v>331</v>
      </c>
      <c r="H146" t="s">
        <v>297</v>
      </c>
      <c r="I146" t="b">
        <v>1</v>
      </c>
      <c r="J146" t="s">
        <v>15</v>
      </c>
    </row>
    <row r="147" spans="1:10" x14ac:dyDescent="0.4">
      <c r="A147" t="s">
        <v>332</v>
      </c>
      <c r="B147" t="s">
        <v>285</v>
      </c>
      <c r="C147" t="s">
        <v>286</v>
      </c>
      <c r="D147">
        <v>2</v>
      </c>
      <c r="E147">
        <v>2</v>
      </c>
      <c r="F147">
        <v>2</v>
      </c>
      <c r="G147" t="s">
        <v>333</v>
      </c>
      <c r="H147" t="s">
        <v>297</v>
      </c>
      <c r="I147" t="b">
        <v>1</v>
      </c>
      <c r="J147" t="s">
        <v>15</v>
      </c>
    </row>
    <row r="148" spans="1:10" x14ac:dyDescent="0.4">
      <c r="A148" t="s">
        <v>334</v>
      </c>
      <c r="B148" t="s">
        <v>285</v>
      </c>
      <c r="C148" t="s">
        <v>286</v>
      </c>
      <c r="D148">
        <v>1</v>
      </c>
      <c r="E148">
        <v>1</v>
      </c>
      <c r="F148">
        <v>1</v>
      </c>
      <c r="G148" t="s">
        <v>335</v>
      </c>
      <c r="H148" t="s">
        <v>297</v>
      </c>
      <c r="I148" t="b">
        <v>1</v>
      </c>
      <c r="J148" t="s">
        <v>15</v>
      </c>
    </row>
    <row r="149" spans="1:10" x14ac:dyDescent="0.4">
      <c r="A149" t="s">
        <v>336</v>
      </c>
      <c r="B149" t="s">
        <v>285</v>
      </c>
      <c r="C149" t="s">
        <v>286</v>
      </c>
      <c r="D149">
        <v>5</v>
      </c>
      <c r="E149">
        <v>5</v>
      </c>
      <c r="F149">
        <v>5</v>
      </c>
      <c r="G149" t="s">
        <v>337</v>
      </c>
      <c r="H149" t="s">
        <v>297</v>
      </c>
      <c r="I149" t="b">
        <v>1</v>
      </c>
      <c r="J149" t="s">
        <v>15</v>
      </c>
    </row>
    <row r="150" spans="1:10" x14ac:dyDescent="0.4">
      <c r="A150" t="s">
        <v>338</v>
      </c>
      <c r="B150" t="s">
        <v>285</v>
      </c>
      <c r="C150" t="s">
        <v>286</v>
      </c>
      <c r="D150">
        <v>5</v>
      </c>
      <c r="E150">
        <v>5</v>
      </c>
      <c r="F150">
        <v>5</v>
      </c>
      <c r="G150" t="s">
        <v>339</v>
      </c>
      <c r="H150" t="s">
        <v>297</v>
      </c>
      <c r="I150" t="b">
        <v>1</v>
      </c>
      <c r="J150" t="s">
        <v>15</v>
      </c>
    </row>
    <row r="151" spans="1:10" x14ac:dyDescent="0.4">
      <c r="A151" t="s">
        <v>340</v>
      </c>
      <c r="B151" t="s">
        <v>285</v>
      </c>
      <c r="C151" t="s">
        <v>286</v>
      </c>
      <c r="D151">
        <v>5</v>
      </c>
      <c r="E151">
        <v>5</v>
      </c>
      <c r="F151">
        <v>5</v>
      </c>
      <c r="G151" t="s">
        <v>341</v>
      </c>
      <c r="H151" t="s">
        <v>297</v>
      </c>
      <c r="I151" t="b">
        <v>1</v>
      </c>
      <c r="J151" t="s">
        <v>15</v>
      </c>
    </row>
    <row r="152" spans="1:10" x14ac:dyDescent="0.4">
      <c r="A152" t="s">
        <v>342</v>
      </c>
      <c r="B152" t="s">
        <v>285</v>
      </c>
      <c r="C152" t="s">
        <v>286</v>
      </c>
      <c r="D152">
        <v>4</v>
      </c>
      <c r="E152">
        <v>4</v>
      </c>
      <c r="F152">
        <v>4</v>
      </c>
      <c r="G152" t="s">
        <v>343</v>
      </c>
      <c r="H152" t="s">
        <v>344</v>
      </c>
      <c r="I152" t="b">
        <v>1</v>
      </c>
      <c r="J152" t="s">
        <v>15</v>
      </c>
    </row>
    <row r="153" spans="1:10" x14ac:dyDescent="0.4">
      <c r="A153" t="s">
        <v>345</v>
      </c>
      <c r="B153" t="s">
        <v>285</v>
      </c>
      <c r="C153" t="s">
        <v>286</v>
      </c>
      <c r="D153">
        <v>3</v>
      </c>
      <c r="E153">
        <v>3</v>
      </c>
      <c r="F153">
        <v>3</v>
      </c>
      <c r="G153" t="s">
        <v>346</v>
      </c>
      <c r="H153" t="s">
        <v>344</v>
      </c>
      <c r="I153" t="b">
        <v>1</v>
      </c>
      <c r="J153" t="s">
        <v>15</v>
      </c>
    </row>
    <row r="154" spans="1:10" x14ac:dyDescent="0.4">
      <c r="A154" t="s">
        <v>347</v>
      </c>
      <c r="B154" t="s">
        <v>285</v>
      </c>
      <c r="C154" t="s">
        <v>286</v>
      </c>
      <c r="D154">
        <v>2</v>
      </c>
      <c r="E154">
        <v>2</v>
      </c>
      <c r="F154">
        <v>2</v>
      </c>
      <c r="G154" t="s">
        <v>348</v>
      </c>
      <c r="H154" t="s">
        <v>344</v>
      </c>
      <c r="I154" t="b">
        <v>1</v>
      </c>
      <c r="J154" t="s">
        <v>15</v>
      </c>
    </row>
    <row r="155" spans="1:10" x14ac:dyDescent="0.4">
      <c r="A155" t="s">
        <v>349</v>
      </c>
      <c r="B155" t="s">
        <v>285</v>
      </c>
      <c r="C155" t="s">
        <v>286</v>
      </c>
      <c r="D155">
        <v>5</v>
      </c>
      <c r="E155">
        <v>5</v>
      </c>
      <c r="F155">
        <v>5</v>
      </c>
      <c r="G155" t="s">
        <v>350</v>
      </c>
      <c r="H155" t="s">
        <v>344</v>
      </c>
      <c r="I155" t="b">
        <v>1</v>
      </c>
      <c r="J155" t="s">
        <v>15</v>
      </c>
    </row>
    <row r="156" spans="1:10" x14ac:dyDescent="0.4">
      <c r="A156" t="s">
        <v>351</v>
      </c>
      <c r="B156" t="s">
        <v>285</v>
      </c>
      <c r="C156" t="s">
        <v>286</v>
      </c>
      <c r="D156">
        <v>0</v>
      </c>
      <c r="E156">
        <v>0</v>
      </c>
      <c r="F156">
        <v>0</v>
      </c>
      <c r="G156" t="s">
        <v>352</v>
      </c>
      <c r="H156" t="s">
        <v>344</v>
      </c>
      <c r="I156" t="b">
        <v>1</v>
      </c>
      <c r="J156" t="s">
        <v>15</v>
      </c>
    </row>
    <row r="157" spans="1:10" x14ac:dyDescent="0.4">
      <c r="A157" t="s">
        <v>353</v>
      </c>
      <c r="B157" t="s">
        <v>285</v>
      </c>
      <c r="C157" t="s">
        <v>286</v>
      </c>
      <c r="D157">
        <v>5</v>
      </c>
      <c r="E157">
        <v>5</v>
      </c>
      <c r="F157">
        <v>5</v>
      </c>
      <c r="G157" t="s">
        <v>354</v>
      </c>
      <c r="H157" t="s">
        <v>344</v>
      </c>
      <c r="I157" t="b">
        <v>1</v>
      </c>
      <c r="J157" t="s">
        <v>15</v>
      </c>
    </row>
    <row r="158" spans="1:10" x14ac:dyDescent="0.4">
      <c r="A158" t="s">
        <v>355</v>
      </c>
      <c r="B158" t="s">
        <v>356</v>
      </c>
      <c r="C158" t="s">
        <v>357</v>
      </c>
      <c r="D158">
        <v>5</v>
      </c>
      <c r="E158">
        <v>5</v>
      </c>
      <c r="F158">
        <v>5</v>
      </c>
      <c r="G158" t="s">
        <v>358</v>
      </c>
      <c r="H158" t="s">
        <v>359</v>
      </c>
      <c r="I158" t="b">
        <v>1</v>
      </c>
      <c r="J158" t="s">
        <v>15</v>
      </c>
    </row>
    <row r="159" spans="1:10" x14ac:dyDescent="0.4">
      <c r="A159" t="s">
        <v>360</v>
      </c>
      <c r="B159" t="s">
        <v>356</v>
      </c>
      <c r="C159" t="s">
        <v>357</v>
      </c>
      <c r="D159">
        <v>3</v>
      </c>
      <c r="E159">
        <v>3</v>
      </c>
      <c r="F159">
        <v>3</v>
      </c>
      <c r="G159" t="s">
        <v>361</v>
      </c>
      <c r="H159" t="s">
        <v>359</v>
      </c>
      <c r="I159" t="b">
        <v>1</v>
      </c>
      <c r="J159" t="s">
        <v>15</v>
      </c>
    </row>
    <row r="160" spans="1:10" x14ac:dyDescent="0.4">
      <c r="A160" t="s">
        <v>362</v>
      </c>
      <c r="B160" t="s">
        <v>356</v>
      </c>
      <c r="C160" t="s">
        <v>357</v>
      </c>
      <c r="D160">
        <v>1</v>
      </c>
      <c r="E160">
        <v>1</v>
      </c>
      <c r="F160">
        <v>1</v>
      </c>
      <c r="G160" t="s">
        <v>363</v>
      </c>
      <c r="H160" t="s">
        <v>359</v>
      </c>
      <c r="I160" t="b">
        <v>1</v>
      </c>
      <c r="J160" t="s">
        <v>15</v>
      </c>
    </row>
    <row r="161" spans="1:10" x14ac:dyDescent="0.4">
      <c r="A161" t="s">
        <v>364</v>
      </c>
      <c r="B161" t="s">
        <v>356</v>
      </c>
      <c r="C161" t="s">
        <v>357</v>
      </c>
      <c r="D161">
        <v>5</v>
      </c>
      <c r="E161">
        <v>5</v>
      </c>
      <c r="F161">
        <v>5</v>
      </c>
      <c r="G161" t="s">
        <v>365</v>
      </c>
      <c r="H161" t="s">
        <v>366</v>
      </c>
      <c r="I161" t="b">
        <v>0</v>
      </c>
      <c r="J161" t="s">
        <v>15</v>
      </c>
    </row>
    <row r="162" spans="1:10" x14ac:dyDescent="0.4">
      <c r="A162" t="s">
        <v>367</v>
      </c>
      <c r="B162" t="s">
        <v>356</v>
      </c>
      <c r="C162" t="s">
        <v>357</v>
      </c>
      <c r="D162">
        <v>2</v>
      </c>
      <c r="E162">
        <v>2</v>
      </c>
      <c r="F162">
        <v>2</v>
      </c>
      <c r="G162" t="s">
        <v>368</v>
      </c>
      <c r="H162" t="s">
        <v>366</v>
      </c>
      <c r="I162" t="b">
        <v>0</v>
      </c>
      <c r="J162" t="s">
        <v>15</v>
      </c>
    </row>
    <row r="163" spans="1:10" x14ac:dyDescent="0.4">
      <c r="A163" t="s">
        <v>369</v>
      </c>
      <c r="B163" t="s">
        <v>356</v>
      </c>
      <c r="C163" t="s">
        <v>357</v>
      </c>
      <c r="D163">
        <v>1</v>
      </c>
      <c r="E163">
        <v>1</v>
      </c>
      <c r="F163">
        <v>1</v>
      </c>
      <c r="G163" t="s">
        <v>370</v>
      </c>
      <c r="H163" t="s">
        <v>371</v>
      </c>
      <c r="I163" t="b">
        <v>1</v>
      </c>
      <c r="J163" t="s">
        <v>15</v>
      </c>
    </row>
    <row r="164" spans="1:10" x14ac:dyDescent="0.4">
      <c r="A164" t="s">
        <v>372</v>
      </c>
      <c r="B164" t="s">
        <v>356</v>
      </c>
      <c r="C164" t="s">
        <v>357</v>
      </c>
      <c r="D164">
        <v>2</v>
      </c>
      <c r="E164">
        <v>2</v>
      </c>
      <c r="F164">
        <v>2</v>
      </c>
      <c r="G164" t="s">
        <v>373</v>
      </c>
      <c r="H164" t="s">
        <v>371</v>
      </c>
      <c r="I164" t="b">
        <v>1</v>
      </c>
      <c r="J164" t="s">
        <v>15</v>
      </c>
    </row>
    <row r="165" spans="1:10" x14ac:dyDescent="0.4">
      <c r="A165" t="s">
        <v>374</v>
      </c>
      <c r="B165" t="s">
        <v>356</v>
      </c>
      <c r="C165" t="s">
        <v>357</v>
      </c>
      <c r="D165">
        <v>3</v>
      </c>
      <c r="E165">
        <v>3</v>
      </c>
      <c r="F165">
        <v>3</v>
      </c>
      <c r="G165" t="s">
        <v>375</v>
      </c>
      <c r="H165" t="s">
        <v>371</v>
      </c>
      <c r="I165" t="b">
        <v>1</v>
      </c>
      <c r="J165" t="s">
        <v>15</v>
      </c>
    </row>
    <row r="166" spans="1:10" x14ac:dyDescent="0.4">
      <c r="A166" t="s">
        <v>376</v>
      </c>
      <c r="B166" t="s">
        <v>356</v>
      </c>
      <c r="C166" t="s">
        <v>357</v>
      </c>
      <c r="D166">
        <v>4</v>
      </c>
      <c r="E166">
        <v>4</v>
      </c>
      <c r="F166">
        <v>4</v>
      </c>
      <c r="G166" t="s">
        <v>377</v>
      </c>
      <c r="H166" t="s">
        <v>371</v>
      </c>
      <c r="I166" t="b">
        <v>1</v>
      </c>
      <c r="J166" t="s">
        <v>15</v>
      </c>
    </row>
    <row r="167" spans="1:10" x14ac:dyDescent="0.4">
      <c r="A167" t="s">
        <v>378</v>
      </c>
      <c r="B167" t="s">
        <v>356</v>
      </c>
      <c r="C167" t="s">
        <v>357</v>
      </c>
      <c r="D167">
        <v>5</v>
      </c>
      <c r="E167">
        <v>5</v>
      </c>
      <c r="F167">
        <v>5</v>
      </c>
      <c r="G167" t="s">
        <v>379</v>
      </c>
      <c r="H167" t="s">
        <v>371</v>
      </c>
      <c r="I167" t="b">
        <v>1</v>
      </c>
      <c r="J167" t="s">
        <v>15</v>
      </c>
    </row>
    <row r="168" spans="1:10" x14ac:dyDescent="0.4">
      <c r="A168" t="s">
        <v>380</v>
      </c>
      <c r="B168" t="s">
        <v>233</v>
      </c>
      <c r="C168" t="s">
        <v>234</v>
      </c>
      <c r="D168">
        <v>5</v>
      </c>
      <c r="E168">
        <v>5</v>
      </c>
      <c r="F168">
        <v>5</v>
      </c>
      <c r="G168" t="s">
        <v>381</v>
      </c>
      <c r="H168" t="s">
        <v>382</v>
      </c>
      <c r="I168" t="b">
        <v>1</v>
      </c>
      <c r="J168" t="s">
        <v>15</v>
      </c>
    </row>
    <row r="169" spans="1:10" x14ac:dyDescent="0.4">
      <c r="A169" t="s">
        <v>383</v>
      </c>
      <c r="B169" t="s">
        <v>233</v>
      </c>
      <c r="C169" t="s">
        <v>234</v>
      </c>
      <c r="D169">
        <v>4</v>
      </c>
      <c r="E169">
        <v>4</v>
      </c>
      <c r="F169">
        <v>4</v>
      </c>
      <c r="G169" t="s">
        <v>384</v>
      </c>
      <c r="H169" t="s">
        <v>382</v>
      </c>
      <c r="I169" t="b">
        <v>1</v>
      </c>
      <c r="J169" t="s">
        <v>15</v>
      </c>
    </row>
    <row r="170" spans="1:10" x14ac:dyDescent="0.4">
      <c r="A170" t="s">
        <v>385</v>
      </c>
      <c r="B170" t="s">
        <v>11</v>
      </c>
      <c r="C170" t="s">
        <v>12</v>
      </c>
      <c r="D170">
        <v>3</v>
      </c>
      <c r="E170">
        <v>6</v>
      </c>
      <c r="F170">
        <v>5</v>
      </c>
      <c r="G170" t="s">
        <v>386</v>
      </c>
      <c r="H170" t="s">
        <v>75</v>
      </c>
      <c r="I170" t="b">
        <v>0</v>
      </c>
      <c r="J170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FBBA-E963-8649-AFD7-AAB582B2E163}">
  <dimension ref="A1:N90"/>
  <sheetViews>
    <sheetView tabSelected="1" topLeftCell="C11" workbookViewId="0">
      <selection activeCell="G21" sqref="G21"/>
    </sheetView>
  </sheetViews>
  <sheetFormatPr defaultColWidth="10.6640625" defaultRowHeight="16" x14ac:dyDescent="0.4"/>
  <cols>
    <col min="1" max="1" width="11.6640625" bestFit="1" customWidth="1"/>
    <col min="2" max="2" width="16.6640625" bestFit="1" customWidth="1"/>
    <col min="3" max="3" width="12.6640625" bestFit="1" customWidth="1"/>
    <col min="4" max="4" width="27.1640625" bestFit="1" customWidth="1"/>
    <col min="5" max="5" width="8.33203125" style="2" bestFit="1" customWidth="1"/>
    <col min="7" max="7" width="14" bestFit="1" customWidth="1"/>
    <col min="9" max="9" width="11.5" bestFit="1" customWidth="1"/>
    <col min="13" max="13" width="14.6640625" bestFit="1" customWidth="1"/>
  </cols>
  <sheetData>
    <row r="1" spans="1:14" x14ac:dyDescent="0.4">
      <c r="A1" t="s">
        <v>387</v>
      </c>
      <c r="B1" t="s">
        <v>1</v>
      </c>
      <c r="C1" t="s">
        <v>2</v>
      </c>
      <c r="D1" t="s">
        <v>7</v>
      </c>
      <c r="E1" s="2" t="s">
        <v>388</v>
      </c>
      <c r="F1" t="s">
        <v>392</v>
      </c>
      <c r="G1" t="s">
        <v>393</v>
      </c>
      <c r="I1" t="s">
        <v>387</v>
      </c>
      <c r="J1" t="s">
        <v>1</v>
      </c>
      <c r="K1" t="s">
        <v>2</v>
      </c>
      <c r="L1" t="s">
        <v>388</v>
      </c>
      <c r="M1" t="s">
        <v>393</v>
      </c>
      <c r="N1" t="s">
        <v>395</v>
      </c>
    </row>
    <row r="2" spans="1:14" x14ac:dyDescent="0.4">
      <c r="A2" s="1" t="s">
        <v>389</v>
      </c>
      <c r="B2" t="s">
        <v>11</v>
      </c>
      <c r="C2" t="s">
        <v>12</v>
      </c>
      <c r="D2" t="s">
        <v>14</v>
      </c>
      <c r="E2" s="2">
        <v>0.2</v>
      </c>
      <c r="F2">
        <v>5</v>
      </c>
      <c r="G2">
        <f>E2*F2*100</f>
        <v>100</v>
      </c>
      <c r="I2" s="1" t="s">
        <v>389</v>
      </c>
      <c r="J2" t="s">
        <v>11</v>
      </c>
      <c r="K2" t="s">
        <v>12</v>
      </c>
      <c r="L2" s="2">
        <v>0.25</v>
      </c>
      <c r="M2">
        <f>SUM(G2:G10)</f>
        <v>500</v>
      </c>
      <c r="N2">
        <f>master_score_bobot5[[#This Row],[bobot]]*master_score_bobot5[[#This Row],[total grup bobot]]</f>
        <v>125</v>
      </c>
    </row>
    <row r="3" spans="1:14" x14ac:dyDescent="0.4">
      <c r="A3" s="1" t="s">
        <v>389</v>
      </c>
      <c r="B3" t="s">
        <v>11</v>
      </c>
      <c r="C3" t="s">
        <v>12</v>
      </c>
      <c r="D3" t="s">
        <v>26</v>
      </c>
      <c r="E3" s="2">
        <v>0.2</v>
      </c>
      <c r="F3">
        <v>5</v>
      </c>
      <c r="G3">
        <f t="shared" ref="G3:G66" si="0">E3*F3*100</f>
        <v>100</v>
      </c>
      <c r="I3" s="1" t="s">
        <v>389</v>
      </c>
      <c r="J3" t="s">
        <v>111</v>
      </c>
      <c r="K3" t="s">
        <v>112</v>
      </c>
      <c r="L3" s="2">
        <v>0.2</v>
      </c>
      <c r="M3">
        <f>SUM(G11,G20)</f>
        <v>125</v>
      </c>
      <c r="N3">
        <f>master_score_bobot5[[#This Row],[bobot]]*master_score_bobot5[[#This Row],[total grup bobot]]</f>
        <v>25</v>
      </c>
    </row>
    <row r="4" spans="1:14" x14ac:dyDescent="0.4">
      <c r="A4" s="1" t="s">
        <v>389</v>
      </c>
      <c r="B4" t="s">
        <v>11</v>
      </c>
      <c r="C4" t="s">
        <v>12</v>
      </c>
      <c r="D4" t="s">
        <v>37</v>
      </c>
      <c r="E4" s="2">
        <v>0.05</v>
      </c>
      <c r="F4">
        <v>5</v>
      </c>
      <c r="G4">
        <f t="shared" si="0"/>
        <v>25</v>
      </c>
      <c r="I4" s="1" t="s">
        <v>389</v>
      </c>
      <c r="J4" t="s">
        <v>285</v>
      </c>
      <c r="K4" t="s">
        <v>286</v>
      </c>
      <c r="L4" s="2">
        <v>0.3</v>
      </c>
      <c r="M4">
        <f>SUM(G21:G23)</f>
        <v>500</v>
      </c>
      <c r="N4">
        <f>master_score_bobot5[[#This Row],[bobot]]*master_score_bobot5[[#This Row],[total grup bobot]]</f>
        <v>150</v>
      </c>
    </row>
    <row r="5" spans="1:14" x14ac:dyDescent="0.4">
      <c r="A5" s="1" t="s">
        <v>389</v>
      </c>
      <c r="B5" t="s">
        <v>11</v>
      </c>
      <c r="C5" t="s">
        <v>12</v>
      </c>
      <c r="D5" t="s">
        <v>44</v>
      </c>
      <c r="E5" s="2">
        <v>0.05</v>
      </c>
      <c r="F5">
        <v>5</v>
      </c>
      <c r="G5">
        <f t="shared" si="0"/>
        <v>25</v>
      </c>
      <c r="I5" s="1" t="s">
        <v>389</v>
      </c>
      <c r="J5" t="s">
        <v>356</v>
      </c>
      <c r="K5" t="s">
        <v>357</v>
      </c>
      <c r="L5" s="2">
        <v>0.25</v>
      </c>
      <c r="M5">
        <f>SUM(G24:G26)</f>
        <v>500</v>
      </c>
      <c r="N5">
        <f>master_score_bobot5[[#This Row],[bobot]]*master_score_bobot5[[#This Row],[total grup bobot]]</f>
        <v>125</v>
      </c>
    </row>
    <row r="6" spans="1:14" x14ac:dyDescent="0.4">
      <c r="A6" s="1" t="s">
        <v>389</v>
      </c>
      <c r="B6" t="s">
        <v>11</v>
      </c>
      <c r="C6" t="s">
        <v>12</v>
      </c>
      <c r="D6" t="s">
        <v>53</v>
      </c>
      <c r="E6" s="2">
        <v>0.05</v>
      </c>
      <c r="F6">
        <v>5</v>
      </c>
      <c r="G6">
        <f t="shared" si="0"/>
        <v>25</v>
      </c>
      <c r="I6" s="3" t="s">
        <v>394</v>
      </c>
      <c r="J6" s="3"/>
      <c r="K6" s="3"/>
      <c r="L6" s="3"/>
      <c r="M6" s="3"/>
      <c r="N6" s="3">
        <f>SUM(N2:N5)</f>
        <v>425</v>
      </c>
    </row>
    <row r="7" spans="1:14" x14ac:dyDescent="0.4">
      <c r="A7" s="1" t="s">
        <v>389</v>
      </c>
      <c r="B7" t="s">
        <v>11</v>
      </c>
      <c r="C7" t="s">
        <v>12</v>
      </c>
      <c r="D7" t="s">
        <v>64</v>
      </c>
      <c r="E7" s="2">
        <v>0.05</v>
      </c>
      <c r="F7">
        <v>5</v>
      </c>
      <c r="G7">
        <f t="shared" si="0"/>
        <v>25</v>
      </c>
      <c r="I7" s="1" t="s">
        <v>390</v>
      </c>
      <c r="J7" t="s">
        <v>11</v>
      </c>
      <c r="K7" t="s">
        <v>12</v>
      </c>
      <c r="L7" s="2">
        <v>0.15</v>
      </c>
      <c r="M7">
        <f>SUM(G27:G35)</f>
        <v>500</v>
      </c>
      <c r="N7">
        <f>master_score_bobot5[[#This Row],[bobot]]*master_score_bobot5[[#This Row],[total grup bobot]]</f>
        <v>75</v>
      </c>
    </row>
    <row r="8" spans="1:14" x14ac:dyDescent="0.4">
      <c r="A8" s="1" t="s">
        <v>389</v>
      </c>
      <c r="B8" t="s">
        <v>11</v>
      </c>
      <c r="C8" t="s">
        <v>12</v>
      </c>
      <c r="D8" t="s">
        <v>75</v>
      </c>
      <c r="E8" s="2">
        <v>0.1</v>
      </c>
      <c r="F8">
        <v>5</v>
      </c>
      <c r="G8">
        <f t="shared" si="0"/>
        <v>50</v>
      </c>
      <c r="I8" s="1" t="s">
        <v>390</v>
      </c>
      <c r="J8" t="s">
        <v>111</v>
      </c>
      <c r="K8" t="s">
        <v>112</v>
      </c>
      <c r="L8" s="2">
        <v>0.2</v>
      </c>
      <c r="M8">
        <f>SUM(G36:G45)</f>
        <v>500</v>
      </c>
      <c r="N8">
        <f>master_score_bobot5[[#This Row],[bobot]]*master_score_bobot5[[#This Row],[total grup bobot]]</f>
        <v>100</v>
      </c>
    </row>
    <row r="9" spans="1:14" x14ac:dyDescent="0.4">
      <c r="A9" s="1" t="s">
        <v>389</v>
      </c>
      <c r="B9" t="s">
        <v>11</v>
      </c>
      <c r="C9" t="s">
        <v>12</v>
      </c>
      <c r="D9" t="s">
        <v>90</v>
      </c>
      <c r="E9" s="2">
        <v>0.2</v>
      </c>
      <c r="F9">
        <v>5</v>
      </c>
      <c r="G9">
        <f t="shared" si="0"/>
        <v>100</v>
      </c>
      <c r="I9" s="1" t="s">
        <v>390</v>
      </c>
      <c r="J9" t="s">
        <v>285</v>
      </c>
      <c r="K9" t="s">
        <v>286</v>
      </c>
      <c r="L9" s="2">
        <v>0.3</v>
      </c>
      <c r="M9">
        <f>SUM(G53:G55)</f>
        <v>500</v>
      </c>
      <c r="N9">
        <f>master_score_bobot5[[#This Row],[bobot]]*master_score_bobot5[[#This Row],[total grup bobot]]</f>
        <v>150</v>
      </c>
    </row>
    <row r="10" spans="1:14" x14ac:dyDescent="0.4">
      <c r="A10" s="1" t="s">
        <v>389</v>
      </c>
      <c r="B10" t="s">
        <v>11</v>
      </c>
      <c r="C10" t="s">
        <v>12</v>
      </c>
      <c r="D10" t="s">
        <v>101</v>
      </c>
      <c r="E10" s="2">
        <v>0.1</v>
      </c>
      <c r="F10">
        <v>5</v>
      </c>
      <c r="G10">
        <f t="shared" si="0"/>
        <v>50</v>
      </c>
      <c r="I10" s="1" t="s">
        <v>390</v>
      </c>
      <c r="J10" t="s">
        <v>356</v>
      </c>
      <c r="K10" t="s">
        <v>357</v>
      </c>
      <c r="L10" s="2">
        <v>0.15</v>
      </c>
      <c r="M10">
        <f>SUM(G24:G26)</f>
        <v>500</v>
      </c>
      <c r="N10">
        <f>master_score_bobot5[[#This Row],[bobot]]*master_score_bobot5[[#This Row],[total grup bobot]]</f>
        <v>75</v>
      </c>
    </row>
    <row r="11" spans="1:14" x14ac:dyDescent="0.4">
      <c r="A11" s="1" t="s">
        <v>389</v>
      </c>
      <c r="B11" t="s">
        <v>111</v>
      </c>
      <c r="C11" t="s">
        <v>112</v>
      </c>
      <c r="D11" t="s">
        <v>114</v>
      </c>
      <c r="E11" s="2">
        <v>0.2</v>
      </c>
      <c r="F11">
        <v>5</v>
      </c>
      <c r="G11">
        <f t="shared" si="0"/>
        <v>100</v>
      </c>
      <c r="I11" s="1" t="s">
        <v>390</v>
      </c>
      <c r="J11" t="s">
        <v>233</v>
      </c>
      <c r="K11" t="s">
        <v>234</v>
      </c>
      <c r="L11" s="2">
        <v>0.2</v>
      </c>
      <c r="M11">
        <f>SUM(G46:G52)</f>
        <v>500</v>
      </c>
      <c r="N11">
        <f>master_score_bobot5[[#This Row],[bobot]]*master_score_bobot5[[#This Row],[total grup bobot]]</f>
        <v>100</v>
      </c>
    </row>
    <row r="12" spans="1:14" x14ac:dyDescent="0.4">
      <c r="A12" s="1" t="s">
        <v>389</v>
      </c>
      <c r="B12" t="s">
        <v>111</v>
      </c>
      <c r="C12" t="s">
        <v>112</v>
      </c>
      <c r="D12" t="s">
        <v>139</v>
      </c>
      <c r="E12" s="2">
        <v>0.2</v>
      </c>
      <c r="F12">
        <v>5</v>
      </c>
      <c r="G12">
        <f t="shared" si="0"/>
        <v>100</v>
      </c>
      <c r="I12" s="3" t="s">
        <v>394</v>
      </c>
      <c r="J12" s="3"/>
      <c r="K12" s="3"/>
      <c r="L12" s="3"/>
      <c r="M12" s="3"/>
      <c r="N12" s="3">
        <f>SUM(N7:N11)</f>
        <v>500</v>
      </c>
    </row>
    <row r="13" spans="1:14" x14ac:dyDescent="0.4">
      <c r="A13" s="1" t="s">
        <v>389</v>
      </c>
      <c r="B13" t="s">
        <v>111</v>
      </c>
      <c r="C13" t="s">
        <v>112</v>
      </c>
      <c r="D13" t="s">
        <v>164</v>
      </c>
      <c r="E13" s="2">
        <v>0.05</v>
      </c>
      <c r="F13">
        <v>5</v>
      </c>
      <c r="G13">
        <f t="shared" si="0"/>
        <v>25</v>
      </c>
      <c r="I13" s="1" t="s">
        <v>391</v>
      </c>
      <c r="J13" t="s">
        <v>11</v>
      </c>
      <c r="K13" t="s">
        <v>12</v>
      </c>
      <c r="L13" s="2">
        <v>0.15</v>
      </c>
      <c r="M13">
        <f>SUM(G59:G67)</f>
        <v>500</v>
      </c>
      <c r="N13">
        <f>master_score_bobot5[[#This Row],[bobot]]*master_score_bobot5[[#This Row],[total grup bobot]]</f>
        <v>75</v>
      </c>
    </row>
    <row r="14" spans="1:14" x14ac:dyDescent="0.4">
      <c r="A14" s="1" t="s">
        <v>389</v>
      </c>
      <c r="B14" t="s">
        <v>111</v>
      </c>
      <c r="C14" t="s">
        <v>112</v>
      </c>
      <c r="D14" t="s">
        <v>171</v>
      </c>
      <c r="E14" s="2">
        <v>0.05</v>
      </c>
      <c r="F14">
        <v>5</v>
      </c>
      <c r="G14">
        <f>E14*F14*100</f>
        <v>25</v>
      </c>
      <c r="I14" s="1" t="s">
        <v>391</v>
      </c>
      <c r="J14" t="s">
        <v>111</v>
      </c>
      <c r="K14" t="s">
        <v>112</v>
      </c>
      <c r="L14" s="2">
        <v>0.2</v>
      </c>
      <c r="M14">
        <f>SUM(G68:G77)</f>
        <v>500</v>
      </c>
      <c r="N14">
        <f>master_score_bobot5[[#This Row],[bobot]]*master_score_bobot5[[#This Row],[total grup bobot]]</f>
        <v>100</v>
      </c>
    </row>
    <row r="15" spans="1:14" x14ac:dyDescent="0.4">
      <c r="A15" s="1" t="s">
        <v>389</v>
      </c>
      <c r="B15" t="s">
        <v>111</v>
      </c>
      <c r="C15" t="s">
        <v>112</v>
      </c>
      <c r="D15" t="s">
        <v>180</v>
      </c>
      <c r="E15" s="2">
        <v>0.05</v>
      </c>
      <c r="F15">
        <v>5</v>
      </c>
      <c r="G15">
        <f t="shared" si="0"/>
        <v>25</v>
      </c>
      <c r="I15" s="1" t="s">
        <v>391</v>
      </c>
      <c r="J15" t="s">
        <v>285</v>
      </c>
      <c r="K15" t="s">
        <v>286</v>
      </c>
      <c r="L15" s="2">
        <v>0.3</v>
      </c>
      <c r="M15">
        <f>SUM(G85:G87)</f>
        <v>500</v>
      </c>
      <c r="N15">
        <f>master_score_bobot5[[#This Row],[bobot]]*master_score_bobot5[[#This Row],[total grup bobot]]</f>
        <v>150</v>
      </c>
    </row>
    <row r="16" spans="1:14" x14ac:dyDescent="0.4">
      <c r="A16" s="1" t="s">
        <v>389</v>
      </c>
      <c r="B16" t="s">
        <v>111</v>
      </c>
      <c r="C16" t="s">
        <v>112</v>
      </c>
      <c r="D16" t="s">
        <v>191</v>
      </c>
      <c r="E16" s="2">
        <v>0.05</v>
      </c>
      <c r="F16">
        <v>5</v>
      </c>
      <c r="G16">
        <f t="shared" si="0"/>
        <v>25</v>
      </c>
      <c r="I16" s="1" t="s">
        <v>391</v>
      </c>
      <c r="J16" t="s">
        <v>356</v>
      </c>
      <c r="K16" t="s">
        <v>357</v>
      </c>
      <c r="L16" s="2">
        <v>0.15</v>
      </c>
      <c r="M16">
        <f>SUM(G88:G90)</f>
        <v>500</v>
      </c>
      <c r="N16">
        <f>master_score_bobot5[[#This Row],[bobot]]*master_score_bobot5[[#This Row],[total grup bobot]]</f>
        <v>75</v>
      </c>
    </row>
    <row r="17" spans="1:14" x14ac:dyDescent="0.4">
      <c r="A17" s="1" t="s">
        <v>389</v>
      </c>
      <c r="B17" t="s">
        <v>111</v>
      </c>
      <c r="C17" t="s">
        <v>112</v>
      </c>
      <c r="D17" t="s">
        <v>200</v>
      </c>
      <c r="E17" s="2">
        <v>0.1</v>
      </c>
      <c r="F17">
        <v>5</v>
      </c>
      <c r="G17">
        <f t="shared" si="0"/>
        <v>50</v>
      </c>
      <c r="I17" s="1" t="s">
        <v>391</v>
      </c>
      <c r="J17" t="s">
        <v>233</v>
      </c>
      <c r="K17" t="s">
        <v>234</v>
      </c>
      <c r="L17" s="2">
        <v>0.2</v>
      </c>
      <c r="M17">
        <f>SUM(G78:G84)</f>
        <v>500</v>
      </c>
      <c r="N17">
        <f>master_score_bobot5[[#This Row],[bobot]]*master_score_bobot5[[#This Row],[total grup bobot]]</f>
        <v>100</v>
      </c>
    </row>
    <row r="18" spans="1:14" x14ac:dyDescent="0.4">
      <c r="A18" s="1" t="s">
        <v>389</v>
      </c>
      <c r="B18" t="s">
        <v>111</v>
      </c>
      <c r="C18" t="s">
        <v>112</v>
      </c>
      <c r="D18" t="s">
        <v>217</v>
      </c>
      <c r="E18" s="2">
        <v>0.2</v>
      </c>
      <c r="F18">
        <v>5</v>
      </c>
      <c r="G18">
        <f t="shared" si="0"/>
        <v>100</v>
      </c>
      <c r="I18" s="3" t="s">
        <v>394</v>
      </c>
      <c r="J18" s="3"/>
      <c r="K18" s="3"/>
      <c r="L18" s="4"/>
      <c r="M18" s="3"/>
      <c r="N18" s="3">
        <f>SUM(N13:N17)</f>
        <v>500</v>
      </c>
    </row>
    <row r="19" spans="1:14" x14ac:dyDescent="0.4">
      <c r="A19" s="1" t="s">
        <v>389</v>
      </c>
      <c r="B19" t="s">
        <v>111</v>
      </c>
      <c r="C19" t="s">
        <v>112</v>
      </c>
      <c r="D19" t="s">
        <v>227</v>
      </c>
      <c r="E19" s="2">
        <v>0.05</v>
      </c>
      <c r="F19">
        <v>5</v>
      </c>
      <c r="G19">
        <f t="shared" si="0"/>
        <v>25</v>
      </c>
    </row>
    <row r="20" spans="1:14" x14ac:dyDescent="0.4">
      <c r="A20" s="1" t="s">
        <v>389</v>
      </c>
      <c r="B20" t="s">
        <v>111</v>
      </c>
      <c r="C20" t="s">
        <v>112</v>
      </c>
      <c r="D20" t="s">
        <v>211</v>
      </c>
      <c r="E20" s="2">
        <v>0.05</v>
      </c>
      <c r="F20">
        <v>5</v>
      </c>
      <c r="G20">
        <f t="shared" si="0"/>
        <v>25</v>
      </c>
    </row>
    <row r="21" spans="1:14" x14ac:dyDescent="0.4">
      <c r="A21" s="1" t="s">
        <v>389</v>
      </c>
      <c r="B21" t="s">
        <v>285</v>
      </c>
      <c r="C21" t="s">
        <v>286</v>
      </c>
      <c r="D21" t="s">
        <v>288</v>
      </c>
      <c r="E21" s="2">
        <v>0.3</v>
      </c>
      <c r="F21">
        <v>5</v>
      </c>
      <c r="G21">
        <f t="shared" si="0"/>
        <v>150</v>
      </c>
    </row>
    <row r="22" spans="1:14" x14ac:dyDescent="0.4">
      <c r="A22" s="1" t="s">
        <v>389</v>
      </c>
      <c r="B22" t="s">
        <v>285</v>
      </c>
      <c r="C22" t="s">
        <v>286</v>
      </c>
      <c r="D22" t="s">
        <v>297</v>
      </c>
      <c r="E22" s="2">
        <v>0.3</v>
      </c>
      <c r="F22">
        <v>5</v>
      </c>
      <c r="G22">
        <f t="shared" si="0"/>
        <v>150</v>
      </c>
    </row>
    <row r="23" spans="1:14" x14ac:dyDescent="0.4">
      <c r="A23" s="1" t="s">
        <v>389</v>
      </c>
      <c r="B23" t="s">
        <v>285</v>
      </c>
      <c r="C23" t="s">
        <v>286</v>
      </c>
      <c r="D23" t="s">
        <v>344</v>
      </c>
      <c r="E23" s="2">
        <v>0.4</v>
      </c>
      <c r="F23">
        <v>5</v>
      </c>
      <c r="G23">
        <f t="shared" si="0"/>
        <v>200</v>
      </c>
    </row>
    <row r="24" spans="1:14" x14ac:dyDescent="0.4">
      <c r="A24" s="1" t="s">
        <v>389</v>
      </c>
      <c r="B24" t="s">
        <v>356</v>
      </c>
      <c r="C24" t="s">
        <v>357</v>
      </c>
      <c r="D24" t="s">
        <v>359</v>
      </c>
      <c r="E24" s="2">
        <v>0.3</v>
      </c>
      <c r="F24">
        <v>5</v>
      </c>
      <c r="G24">
        <f>E24*F24*100</f>
        <v>150</v>
      </c>
    </row>
    <row r="25" spans="1:14" x14ac:dyDescent="0.4">
      <c r="A25" s="1" t="s">
        <v>389</v>
      </c>
      <c r="B25" t="s">
        <v>356</v>
      </c>
      <c r="C25" t="s">
        <v>357</v>
      </c>
      <c r="D25" t="s">
        <v>366</v>
      </c>
      <c r="E25" s="2">
        <v>0.3</v>
      </c>
      <c r="F25">
        <v>5</v>
      </c>
      <c r="G25">
        <f t="shared" si="0"/>
        <v>150</v>
      </c>
    </row>
    <row r="26" spans="1:14" x14ac:dyDescent="0.4">
      <c r="A26" s="1" t="s">
        <v>389</v>
      </c>
      <c r="B26" t="s">
        <v>356</v>
      </c>
      <c r="C26" t="s">
        <v>357</v>
      </c>
      <c r="D26" t="s">
        <v>371</v>
      </c>
      <c r="E26" s="2">
        <v>0.4</v>
      </c>
      <c r="F26">
        <v>5</v>
      </c>
      <c r="G26">
        <f t="shared" si="0"/>
        <v>200</v>
      </c>
    </row>
    <row r="27" spans="1:14" x14ac:dyDescent="0.4">
      <c r="A27" s="1" t="s">
        <v>390</v>
      </c>
      <c r="B27" t="s">
        <v>11</v>
      </c>
      <c r="C27" t="s">
        <v>12</v>
      </c>
      <c r="D27" t="s">
        <v>14</v>
      </c>
      <c r="E27" s="2">
        <v>0.2</v>
      </c>
      <c r="F27">
        <v>5</v>
      </c>
      <c r="G27">
        <f t="shared" si="0"/>
        <v>100</v>
      </c>
    </row>
    <row r="28" spans="1:14" x14ac:dyDescent="0.4">
      <c r="A28" s="1" t="s">
        <v>390</v>
      </c>
      <c r="B28" t="s">
        <v>11</v>
      </c>
      <c r="C28" t="s">
        <v>12</v>
      </c>
      <c r="D28" t="s">
        <v>26</v>
      </c>
      <c r="E28" s="2">
        <v>0.2</v>
      </c>
      <c r="F28">
        <v>5</v>
      </c>
      <c r="G28">
        <f t="shared" si="0"/>
        <v>100</v>
      </c>
    </row>
    <row r="29" spans="1:14" x14ac:dyDescent="0.4">
      <c r="A29" s="1" t="s">
        <v>390</v>
      </c>
      <c r="B29" t="s">
        <v>11</v>
      </c>
      <c r="C29" t="s">
        <v>12</v>
      </c>
      <c r="D29" t="s">
        <v>37</v>
      </c>
      <c r="E29" s="2">
        <v>0.05</v>
      </c>
      <c r="F29">
        <v>5</v>
      </c>
      <c r="G29">
        <f t="shared" si="0"/>
        <v>25</v>
      </c>
    </row>
    <row r="30" spans="1:14" x14ac:dyDescent="0.4">
      <c r="A30" s="1" t="s">
        <v>390</v>
      </c>
      <c r="B30" t="s">
        <v>11</v>
      </c>
      <c r="C30" t="s">
        <v>12</v>
      </c>
      <c r="D30" t="s">
        <v>44</v>
      </c>
      <c r="E30" s="2">
        <v>0.05</v>
      </c>
      <c r="F30">
        <v>5</v>
      </c>
      <c r="G30">
        <f t="shared" si="0"/>
        <v>25</v>
      </c>
    </row>
    <row r="31" spans="1:14" x14ac:dyDescent="0.4">
      <c r="A31" s="1" t="s">
        <v>390</v>
      </c>
      <c r="B31" t="s">
        <v>11</v>
      </c>
      <c r="C31" t="s">
        <v>12</v>
      </c>
      <c r="D31" t="s">
        <v>53</v>
      </c>
      <c r="E31" s="2">
        <v>0.05</v>
      </c>
      <c r="F31">
        <v>5</v>
      </c>
      <c r="G31">
        <f t="shared" si="0"/>
        <v>25</v>
      </c>
    </row>
    <row r="32" spans="1:14" x14ac:dyDescent="0.4">
      <c r="A32" s="1" t="s">
        <v>390</v>
      </c>
      <c r="B32" t="s">
        <v>11</v>
      </c>
      <c r="C32" t="s">
        <v>12</v>
      </c>
      <c r="D32" t="s">
        <v>64</v>
      </c>
      <c r="E32" s="2">
        <v>0.05</v>
      </c>
      <c r="F32">
        <v>5</v>
      </c>
      <c r="G32">
        <f>E32*F32*100</f>
        <v>25</v>
      </c>
    </row>
    <row r="33" spans="1:7" x14ac:dyDescent="0.4">
      <c r="A33" s="1" t="s">
        <v>390</v>
      </c>
      <c r="B33" t="s">
        <v>11</v>
      </c>
      <c r="C33" t="s">
        <v>12</v>
      </c>
      <c r="D33" t="s">
        <v>75</v>
      </c>
      <c r="E33" s="2">
        <v>0.1</v>
      </c>
      <c r="F33">
        <v>5</v>
      </c>
      <c r="G33">
        <f t="shared" si="0"/>
        <v>50</v>
      </c>
    </row>
    <row r="34" spans="1:7" x14ac:dyDescent="0.4">
      <c r="A34" s="1" t="s">
        <v>390</v>
      </c>
      <c r="B34" t="s">
        <v>11</v>
      </c>
      <c r="C34" t="s">
        <v>12</v>
      </c>
      <c r="D34" t="s">
        <v>90</v>
      </c>
      <c r="E34" s="2">
        <v>0.2</v>
      </c>
      <c r="F34">
        <v>5</v>
      </c>
      <c r="G34">
        <f t="shared" si="0"/>
        <v>100</v>
      </c>
    </row>
    <row r="35" spans="1:7" x14ac:dyDescent="0.4">
      <c r="A35" s="1" t="s">
        <v>390</v>
      </c>
      <c r="B35" t="s">
        <v>11</v>
      </c>
      <c r="C35" t="s">
        <v>12</v>
      </c>
      <c r="D35" t="s">
        <v>101</v>
      </c>
      <c r="E35" s="2">
        <v>0.1</v>
      </c>
      <c r="F35">
        <v>5</v>
      </c>
      <c r="G35">
        <f t="shared" si="0"/>
        <v>50</v>
      </c>
    </row>
    <row r="36" spans="1:7" x14ac:dyDescent="0.4">
      <c r="A36" s="1" t="s">
        <v>390</v>
      </c>
      <c r="B36" t="s">
        <v>111</v>
      </c>
      <c r="C36" t="s">
        <v>112</v>
      </c>
      <c r="D36" t="s">
        <v>114</v>
      </c>
      <c r="E36" s="2">
        <v>0.2</v>
      </c>
      <c r="F36">
        <v>5</v>
      </c>
      <c r="G36">
        <f t="shared" si="0"/>
        <v>100</v>
      </c>
    </row>
    <row r="37" spans="1:7" x14ac:dyDescent="0.4">
      <c r="A37" s="1" t="s">
        <v>390</v>
      </c>
      <c r="B37" t="s">
        <v>111</v>
      </c>
      <c r="C37" t="s">
        <v>112</v>
      </c>
      <c r="D37" t="s">
        <v>139</v>
      </c>
      <c r="E37" s="2">
        <v>0.2</v>
      </c>
      <c r="F37">
        <v>5</v>
      </c>
      <c r="G37">
        <f t="shared" si="0"/>
        <v>100</v>
      </c>
    </row>
    <row r="38" spans="1:7" x14ac:dyDescent="0.4">
      <c r="A38" s="1" t="s">
        <v>390</v>
      </c>
      <c r="B38" t="s">
        <v>111</v>
      </c>
      <c r="C38" t="s">
        <v>112</v>
      </c>
      <c r="D38" t="s">
        <v>164</v>
      </c>
      <c r="E38" s="2">
        <v>0.05</v>
      </c>
      <c r="F38">
        <v>5</v>
      </c>
      <c r="G38">
        <f t="shared" si="0"/>
        <v>25</v>
      </c>
    </row>
    <row r="39" spans="1:7" x14ac:dyDescent="0.4">
      <c r="A39" s="1" t="s">
        <v>390</v>
      </c>
      <c r="B39" t="s">
        <v>111</v>
      </c>
      <c r="C39" t="s">
        <v>112</v>
      </c>
      <c r="D39" t="s">
        <v>171</v>
      </c>
      <c r="E39" s="2">
        <v>0.05</v>
      </c>
      <c r="F39">
        <v>5</v>
      </c>
      <c r="G39">
        <f t="shared" si="0"/>
        <v>25</v>
      </c>
    </row>
    <row r="40" spans="1:7" x14ac:dyDescent="0.4">
      <c r="A40" s="1" t="s">
        <v>390</v>
      </c>
      <c r="B40" t="s">
        <v>111</v>
      </c>
      <c r="C40" t="s">
        <v>112</v>
      </c>
      <c r="D40" t="s">
        <v>180</v>
      </c>
      <c r="E40" s="2">
        <v>0.05</v>
      </c>
      <c r="F40">
        <v>5</v>
      </c>
      <c r="G40">
        <f>E40*F40*100</f>
        <v>25</v>
      </c>
    </row>
    <row r="41" spans="1:7" x14ac:dyDescent="0.4">
      <c r="A41" s="1" t="s">
        <v>390</v>
      </c>
      <c r="B41" t="s">
        <v>111</v>
      </c>
      <c r="C41" t="s">
        <v>112</v>
      </c>
      <c r="D41" t="s">
        <v>191</v>
      </c>
      <c r="E41" s="2">
        <v>0.05</v>
      </c>
      <c r="F41">
        <v>5</v>
      </c>
      <c r="G41">
        <f t="shared" si="0"/>
        <v>25</v>
      </c>
    </row>
    <row r="42" spans="1:7" x14ac:dyDescent="0.4">
      <c r="A42" s="1" t="s">
        <v>390</v>
      </c>
      <c r="B42" t="s">
        <v>111</v>
      </c>
      <c r="C42" t="s">
        <v>112</v>
      </c>
      <c r="D42" t="s">
        <v>200</v>
      </c>
      <c r="E42" s="2">
        <v>0.1</v>
      </c>
      <c r="F42">
        <v>5</v>
      </c>
      <c r="G42">
        <f t="shared" si="0"/>
        <v>50</v>
      </c>
    </row>
    <row r="43" spans="1:7" x14ac:dyDescent="0.4">
      <c r="A43" s="1" t="s">
        <v>390</v>
      </c>
      <c r="B43" t="s">
        <v>111</v>
      </c>
      <c r="C43" t="s">
        <v>112</v>
      </c>
      <c r="D43" t="s">
        <v>217</v>
      </c>
      <c r="E43" s="2">
        <v>0.15</v>
      </c>
      <c r="F43">
        <v>5</v>
      </c>
      <c r="G43">
        <f t="shared" si="0"/>
        <v>75</v>
      </c>
    </row>
    <row r="44" spans="1:7" x14ac:dyDescent="0.4">
      <c r="A44" s="1" t="s">
        <v>390</v>
      </c>
      <c r="B44" t="s">
        <v>111</v>
      </c>
      <c r="C44" t="s">
        <v>112</v>
      </c>
      <c r="D44" t="s">
        <v>227</v>
      </c>
      <c r="E44" s="2">
        <v>0.1</v>
      </c>
      <c r="F44">
        <v>5</v>
      </c>
      <c r="G44">
        <f t="shared" si="0"/>
        <v>50</v>
      </c>
    </row>
    <row r="45" spans="1:7" x14ac:dyDescent="0.4">
      <c r="A45" s="1" t="s">
        <v>390</v>
      </c>
      <c r="B45" t="s">
        <v>111</v>
      </c>
      <c r="C45" t="s">
        <v>112</v>
      </c>
      <c r="D45" t="s">
        <v>211</v>
      </c>
      <c r="E45" s="2">
        <v>0.05</v>
      </c>
      <c r="F45">
        <v>5</v>
      </c>
      <c r="G45">
        <f t="shared" si="0"/>
        <v>25</v>
      </c>
    </row>
    <row r="46" spans="1:7" x14ac:dyDescent="0.4">
      <c r="A46" s="1" t="s">
        <v>390</v>
      </c>
      <c r="B46" t="s">
        <v>233</v>
      </c>
      <c r="C46" t="s">
        <v>234</v>
      </c>
      <c r="D46" t="s">
        <v>235</v>
      </c>
      <c r="E46" s="2">
        <v>0.2</v>
      </c>
      <c r="F46">
        <v>5</v>
      </c>
      <c r="G46">
        <f t="shared" si="0"/>
        <v>100</v>
      </c>
    </row>
    <row r="47" spans="1:7" x14ac:dyDescent="0.4">
      <c r="A47" s="1" t="s">
        <v>390</v>
      </c>
      <c r="B47" t="s">
        <v>233</v>
      </c>
      <c r="C47" t="s">
        <v>234</v>
      </c>
      <c r="D47" t="s">
        <v>246</v>
      </c>
      <c r="E47" s="2">
        <v>0.2</v>
      </c>
      <c r="F47">
        <v>5</v>
      </c>
      <c r="G47">
        <f t="shared" si="0"/>
        <v>100</v>
      </c>
    </row>
    <row r="48" spans="1:7" x14ac:dyDescent="0.4">
      <c r="A48" s="1" t="s">
        <v>390</v>
      </c>
      <c r="B48" t="s">
        <v>233</v>
      </c>
      <c r="C48" t="s">
        <v>234</v>
      </c>
      <c r="D48" t="s">
        <v>262</v>
      </c>
      <c r="E48" s="2">
        <v>0.1</v>
      </c>
      <c r="F48">
        <v>5</v>
      </c>
      <c r="G48">
        <f t="shared" si="0"/>
        <v>50</v>
      </c>
    </row>
    <row r="49" spans="1:7" x14ac:dyDescent="0.4">
      <c r="A49" s="1" t="s">
        <v>390</v>
      </c>
      <c r="B49" t="s">
        <v>233</v>
      </c>
      <c r="C49" t="s">
        <v>234</v>
      </c>
      <c r="D49" t="s">
        <v>266</v>
      </c>
      <c r="E49" s="2">
        <v>0.1</v>
      </c>
      <c r="F49">
        <v>5</v>
      </c>
      <c r="G49">
        <f>E49*F49*100</f>
        <v>50</v>
      </c>
    </row>
    <row r="50" spans="1:7" x14ac:dyDescent="0.4">
      <c r="A50" s="1" t="s">
        <v>390</v>
      </c>
      <c r="B50" t="s">
        <v>233</v>
      </c>
      <c r="C50" t="s">
        <v>234</v>
      </c>
      <c r="D50" t="s">
        <v>276</v>
      </c>
      <c r="E50" s="2">
        <v>0.1</v>
      </c>
      <c r="F50">
        <v>5</v>
      </c>
      <c r="G50">
        <f t="shared" si="0"/>
        <v>50</v>
      </c>
    </row>
    <row r="51" spans="1:7" x14ac:dyDescent="0.4">
      <c r="A51" s="1" t="s">
        <v>390</v>
      </c>
      <c r="B51" t="s">
        <v>233</v>
      </c>
      <c r="C51" t="s">
        <v>234</v>
      </c>
      <c r="D51" t="s">
        <v>281</v>
      </c>
      <c r="E51" s="2">
        <v>0.15</v>
      </c>
      <c r="F51">
        <v>5</v>
      </c>
      <c r="G51">
        <f t="shared" si="0"/>
        <v>75</v>
      </c>
    </row>
    <row r="52" spans="1:7" x14ac:dyDescent="0.4">
      <c r="A52" s="1" t="s">
        <v>390</v>
      </c>
      <c r="B52" t="s">
        <v>233</v>
      </c>
      <c r="C52" t="s">
        <v>234</v>
      </c>
      <c r="D52" t="s">
        <v>382</v>
      </c>
      <c r="E52" s="2">
        <v>0.15</v>
      </c>
      <c r="F52">
        <v>5</v>
      </c>
      <c r="G52">
        <f t="shared" si="0"/>
        <v>75</v>
      </c>
    </row>
    <row r="53" spans="1:7" x14ac:dyDescent="0.4">
      <c r="A53" s="1" t="s">
        <v>390</v>
      </c>
      <c r="B53" t="s">
        <v>285</v>
      </c>
      <c r="C53" t="s">
        <v>286</v>
      </c>
      <c r="D53" t="s">
        <v>288</v>
      </c>
      <c r="E53" s="2">
        <v>0.3</v>
      </c>
      <c r="F53">
        <v>5</v>
      </c>
      <c r="G53">
        <f t="shared" si="0"/>
        <v>150</v>
      </c>
    </row>
    <row r="54" spans="1:7" x14ac:dyDescent="0.4">
      <c r="A54" s="1" t="s">
        <v>390</v>
      </c>
      <c r="B54" t="s">
        <v>285</v>
      </c>
      <c r="C54" t="s">
        <v>286</v>
      </c>
      <c r="D54" t="s">
        <v>297</v>
      </c>
      <c r="E54" s="2">
        <v>0.3</v>
      </c>
      <c r="F54">
        <v>5</v>
      </c>
      <c r="G54">
        <f t="shared" si="0"/>
        <v>150</v>
      </c>
    </row>
    <row r="55" spans="1:7" x14ac:dyDescent="0.4">
      <c r="A55" s="1" t="s">
        <v>390</v>
      </c>
      <c r="B55" t="s">
        <v>285</v>
      </c>
      <c r="C55" t="s">
        <v>286</v>
      </c>
      <c r="D55" t="s">
        <v>344</v>
      </c>
      <c r="E55" s="2">
        <v>0.4</v>
      </c>
      <c r="F55">
        <v>5</v>
      </c>
      <c r="G55">
        <f t="shared" si="0"/>
        <v>200</v>
      </c>
    </row>
    <row r="56" spans="1:7" x14ac:dyDescent="0.4">
      <c r="A56" s="1" t="s">
        <v>390</v>
      </c>
      <c r="B56" t="s">
        <v>356</v>
      </c>
      <c r="C56" t="s">
        <v>357</v>
      </c>
      <c r="D56" t="s">
        <v>359</v>
      </c>
      <c r="E56" s="2">
        <v>0.3</v>
      </c>
      <c r="F56">
        <v>5</v>
      </c>
      <c r="G56">
        <f t="shared" si="0"/>
        <v>150</v>
      </c>
    </row>
    <row r="57" spans="1:7" x14ac:dyDescent="0.4">
      <c r="A57" s="1" t="s">
        <v>390</v>
      </c>
      <c r="B57" t="s">
        <v>356</v>
      </c>
      <c r="C57" t="s">
        <v>357</v>
      </c>
      <c r="D57" t="s">
        <v>366</v>
      </c>
      <c r="E57" s="2">
        <v>0.3</v>
      </c>
      <c r="F57">
        <v>5</v>
      </c>
      <c r="G57">
        <f t="shared" si="0"/>
        <v>150</v>
      </c>
    </row>
    <row r="58" spans="1:7" x14ac:dyDescent="0.4">
      <c r="A58" s="1" t="s">
        <v>390</v>
      </c>
      <c r="B58" t="s">
        <v>356</v>
      </c>
      <c r="C58" t="s">
        <v>357</v>
      </c>
      <c r="D58" t="s">
        <v>371</v>
      </c>
      <c r="E58" s="2">
        <v>0.4</v>
      </c>
      <c r="F58">
        <v>5</v>
      </c>
      <c r="G58">
        <f t="shared" si="0"/>
        <v>200</v>
      </c>
    </row>
    <row r="59" spans="1:7" x14ac:dyDescent="0.4">
      <c r="A59" s="1" t="s">
        <v>391</v>
      </c>
      <c r="B59" t="s">
        <v>11</v>
      </c>
      <c r="C59" t="s">
        <v>12</v>
      </c>
      <c r="D59" t="s">
        <v>14</v>
      </c>
      <c r="E59" s="2">
        <v>0.2</v>
      </c>
      <c r="F59">
        <v>5</v>
      </c>
      <c r="G59">
        <f t="shared" si="0"/>
        <v>100</v>
      </c>
    </row>
    <row r="60" spans="1:7" x14ac:dyDescent="0.4">
      <c r="A60" s="1" t="s">
        <v>391</v>
      </c>
      <c r="B60" t="s">
        <v>11</v>
      </c>
      <c r="C60" t="s">
        <v>12</v>
      </c>
      <c r="D60" t="s">
        <v>26</v>
      </c>
      <c r="E60" s="2">
        <v>0.2</v>
      </c>
      <c r="F60">
        <v>5</v>
      </c>
      <c r="G60">
        <f t="shared" si="0"/>
        <v>100</v>
      </c>
    </row>
    <row r="61" spans="1:7" x14ac:dyDescent="0.4">
      <c r="A61" s="1" t="s">
        <v>391</v>
      </c>
      <c r="B61" t="s">
        <v>11</v>
      </c>
      <c r="C61" t="s">
        <v>12</v>
      </c>
      <c r="D61" t="s">
        <v>37</v>
      </c>
      <c r="E61" s="2">
        <v>0.05</v>
      </c>
      <c r="F61">
        <v>5</v>
      </c>
      <c r="G61">
        <f>E61*F61*100</f>
        <v>25</v>
      </c>
    </row>
    <row r="62" spans="1:7" x14ac:dyDescent="0.4">
      <c r="A62" s="1" t="s">
        <v>391</v>
      </c>
      <c r="B62" t="s">
        <v>11</v>
      </c>
      <c r="C62" t="s">
        <v>12</v>
      </c>
      <c r="D62" t="s">
        <v>44</v>
      </c>
      <c r="E62" s="2">
        <v>0.05</v>
      </c>
      <c r="F62">
        <v>5</v>
      </c>
      <c r="G62">
        <f t="shared" si="0"/>
        <v>25</v>
      </c>
    </row>
    <row r="63" spans="1:7" x14ac:dyDescent="0.4">
      <c r="A63" s="1" t="s">
        <v>391</v>
      </c>
      <c r="B63" t="s">
        <v>11</v>
      </c>
      <c r="C63" t="s">
        <v>12</v>
      </c>
      <c r="D63" t="s">
        <v>53</v>
      </c>
      <c r="E63" s="2">
        <v>0.05</v>
      </c>
      <c r="F63">
        <v>5</v>
      </c>
      <c r="G63">
        <f t="shared" si="0"/>
        <v>25</v>
      </c>
    </row>
    <row r="64" spans="1:7" x14ac:dyDescent="0.4">
      <c r="A64" s="1" t="s">
        <v>391</v>
      </c>
      <c r="B64" t="s">
        <v>11</v>
      </c>
      <c r="C64" t="s">
        <v>12</v>
      </c>
      <c r="D64" t="s">
        <v>64</v>
      </c>
      <c r="E64" s="2">
        <v>0.05</v>
      </c>
      <c r="F64">
        <v>5</v>
      </c>
      <c r="G64">
        <f t="shared" si="0"/>
        <v>25</v>
      </c>
    </row>
    <row r="65" spans="1:7" x14ac:dyDescent="0.4">
      <c r="A65" s="1" t="s">
        <v>391</v>
      </c>
      <c r="B65" t="s">
        <v>11</v>
      </c>
      <c r="C65" t="s">
        <v>12</v>
      </c>
      <c r="D65" t="s">
        <v>75</v>
      </c>
      <c r="E65" s="2">
        <v>0.1</v>
      </c>
      <c r="F65">
        <v>5</v>
      </c>
      <c r="G65">
        <f>E65*F65*100</f>
        <v>50</v>
      </c>
    </row>
    <row r="66" spans="1:7" x14ac:dyDescent="0.4">
      <c r="A66" s="1" t="s">
        <v>391</v>
      </c>
      <c r="B66" t="s">
        <v>11</v>
      </c>
      <c r="C66" t="s">
        <v>12</v>
      </c>
      <c r="D66" t="s">
        <v>90</v>
      </c>
      <c r="E66" s="2">
        <v>0.2</v>
      </c>
      <c r="F66">
        <v>5</v>
      </c>
      <c r="G66">
        <f t="shared" si="0"/>
        <v>100</v>
      </c>
    </row>
    <row r="67" spans="1:7" x14ac:dyDescent="0.4">
      <c r="A67" s="1" t="s">
        <v>391</v>
      </c>
      <c r="B67" t="s">
        <v>11</v>
      </c>
      <c r="C67" t="s">
        <v>12</v>
      </c>
      <c r="D67" t="s">
        <v>101</v>
      </c>
      <c r="E67" s="2">
        <v>0.1</v>
      </c>
      <c r="F67">
        <v>5</v>
      </c>
      <c r="G67">
        <f t="shared" ref="G67:G80" si="1">E67*F67*100</f>
        <v>50</v>
      </c>
    </row>
    <row r="68" spans="1:7" x14ac:dyDescent="0.4">
      <c r="A68" s="1" t="s">
        <v>391</v>
      </c>
      <c r="B68" t="s">
        <v>111</v>
      </c>
      <c r="C68" t="s">
        <v>112</v>
      </c>
      <c r="D68" t="s">
        <v>114</v>
      </c>
      <c r="E68" s="2">
        <v>0.2</v>
      </c>
      <c r="F68">
        <v>5</v>
      </c>
      <c r="G68">
        <f t="shared" si="1"/>
        <v>100</v>
      </c>
    </row>
    <row r="69" spans="1:7" x14ac:dyDescent="0.4">
      <c r="A69" s="1" t="s">
        <v>391</v>
      </c>
      <c r="B69" t="s">
        <v>111</v>
      </c>
      <c r="C69" t="s">
        <v>112</v>
      </c>
      <c r="D69" t="s">
        <v>139</v>
      </c>
      <c r="E69" s="2">
        <v>0.2</v>
      </c>
      <c r="F69">
        <v>5</v>
      </c>
      <c r="G69">
        <f t="shared" si="1"/>
        <v>100</v>
      </c>
    </row>
    <row r="70" spans="1:7" x14ac:dyDescent="0.4">
      <c r="A70" s="1" t="s">
        <v>391</v>
      </c>
      <c r="B70" t="s">
        <v>111</v>
      </c>
      <c r="C70" t="s">
        <v>112</v>
      </c>
      <c r="D70" t="s">
        <v>164</v>
      </c>
      <c r="E70" s="2">
        <v>0.05</v>
      </c>
      <c r="F70">
        <v>5</v>
      </c>
      <c r="G70">
        <f t="shared" si="1"/>
        <v>25</v>
      </c>
    </row>
    <row r="71" spans="1:7" x14ac:dyDescent="0.4">
      <c r="A71" s="1" t="s">
        <v>391</v>
      </c>
      <c r="B71" t="s">
        <v>111</v>
      </c>
      <c r="C71" t="s">
        <v>112</v>
      </c>
      <c r="D71" t="s">
        <v>171</v>
      </c>
      <c r="E71" s="2">
        <v>0.05</v>
      </c>
      <c r="F71">
        <v>5</v>
      </c>
      <c r="G71">
        <f t="shared" si="1"/>
        <v>25</v>
      </c>
    </row>
    <row r="72" spans="1:7" x14ac:dyDescent="0.4">
      <c r="A72" s="1" t="s">
        <v>391</v>
      </c>
      <c r="B72" t="s">
        <v>111</v>
      </c>
      <c r="C72" t="s">
        <v>112</v>
      </c>
      <c r="D72" t="s">
        <v>180</v>
      </c>
      <c r="E72" s="2">
        <v>0.05</v>
      </c>
      <c r="F72">
        <v>5</v>
      </c>
      <c r="G72">
        <f t="shared" si="1"/>
        <v>25</v>
      </c>
    </row>
    <row r="73" spans="1:7" x14ac:dyDescent="0.4">
      <c r="A73" s="1" t="s">
        <v>391</v>
      </c>
      <c r="B73" t="s">
        <v>111</v>
      </c>
      <c r="C73" t="s">
        <v>112</v>
      </c>
      <c r="D73" t="s">
        <v>191</v>
      </c>
      <c r="E73" s="2">
        <v>0.05</v>
      </c>
      <c r="F73">
        <v>5</v>
      </c>
      <c r="G73">
        <f t="shared" si="1"/>
        <v>25</v>
      </c>
    </row>
    <row r="74" spans="1:7" x14ac:dyDescent="0.4">
      <c r="A74" s="1" t="s">
        <v>391</v>
      </c>
      <c r="B74" t="s">
        <v>111</v>
      </c>
      <c r="C74" t="s">
        <v>112</v>
      </c>
      <c r="D74" t="s">
        <v>200</v>
      </c>
      <c r="E74" s="2">
        <v>0.1</v>
      </c>
      <c r="F74">
        <v>5</v>
      </c>
      <c r="G74">
        <f t="shared" si="1"/>
        <v>50</v>
      </c>
    </row>
    <row r="75" spans="1:7" x14ac:dyDescent="0.4">
      <c r="A75" s="1" t="s">
        <v>391</v>
      </c>
      <c r="B75" t="s">
        <v>111</v>
      </c>
      <c r="C75" t="s">
        <v>112</v>
      </c>
      <c r="D75" t="s">
        <v>217</v>
      </c>
      <c r="E75" s="2">
        <v>0.15</v>
      </c>
      <c r="F75">
        <v>5</v>
      </c>
      <c r="G75">
        <f t="shared" si="1"/>
        <v>75</v>
      </c>
    </row>
    <row r="76" spans="1:7" x14ac:dyDescent="0.4">
      <c r="A76" s="1" t="s">
        <v>391</v>
      </c>
      <c r="B76" t="s">
        <v>111</v>
      </c>
      <c r="C76" t="s">
        <v>112</v>
      </c>
      <c r="D76" t="s">
        <v>227</v>
      </c>
      <c r="E76" s="2">
        <v>0.1</v>
      </c>
      <c r="F76">
        <v>5</v>
      </c>
      <c r="G76">
        <f t="shared" si="1"/>
        <v>50</v>
      </c>
    </row>
    <row r="77" spans="1:7" x14ac:dyDescent="0.4">
      <c r="A77" s="1" t="s">
        <v>391</v>
      </c>
      <c r="B77" t="s">
        <v>111</v>
      </c>
      <c r="C77" t="s">
        <v>112</v>
      </c>
      <c r="D77" t="s">
        <v>211</v>
      </c>
      <c r="E77" s="2">
        <v>0.05</v>
      </c>
      <c r="F77">
        <v>5</v>
      </c>
      <c r="G77">
        <f>E77*F77*100</f>
        <v>25</v>
      </c>
    </row>
    <row r="78" spans="1:7" x14ac:dyDescent="0.4">
      <c r="A78" s="1" t="s">
        <v>391</v>
      </c>
      <c r="B78" t="s">
        <v>233</v>
      </c>
      <c r="C78" t="s">
        <v>234</v>
      </c>
      <c r="D78" t="s">
        <v>235</v>
      </c>
      <c r="E78" s="2">
        <v>0.2</v>
      </c>
      <c r="F78">
        <v>5</v>
      </c>
      <c r="G78">
        <f t="shared" si="1"/>
        <v>100</v>
      </c>
    </row>
    <row r="79" spans="1:7" x14ac:dyDescent="0.4">
      <c r="A79" s="1" t="s">
        <v>391</v>
      </c>
      <c r="B79" t="s">
        <v>233</v>
      </c>
      <c r="C79" t="s">
        <v>234</v>
      </c>
      <c r="D79" t="s">
        <v>246</v>
      </c>
      <c r="E79" s="2">
        <v>0.2</v>
      </c>
      <c r="F79">
        <v>5</v>
      </c>
      <c r="G79">
        <f t="shared" si="1"/>
        <v>100</v>
      </c>
    </row>
    <row r="80" spans="1:7" x14ac:dyDescent="0.4">
      <c r="A80" s="1" t="s">
        <v>391</v>
      </c>
      <c r="B80" t="s">
        <v>233</v>
      </c>
      <c r="C80" t="s">
        <v>234</v>
      </c>
      <c r="D80" t="s">
        <v>262</v>
      </c>
      <c r="E80" s="2">
        <v>0.1</v>
      </c>
      <c r="F80">
        <v>5</v>
      </c>
      <c r="G80">
        <f t="shared" si="1"/>
        <v>50</v>
      </c>
    </row>
    <row r="81" spans="1:7" x14ac:dyDescent="0.4">
      <c r="A81" s="1" t="s">
        <v>391</v>
      </c>
      <c r="B81" t="s">
        <v>233</v>
      </c>
      <c r="C81" t="s">
        <v>234</v>
      </c>
      <c r="D81" t="s">
        <v>266</v>
      </c>
      <c r="E81" s="2">
        <v>0.1</v>
      </c>
      <c r="F81">
        <v>5</v>
      </c>
      <c r="G81">
        <f>E81*F81*100</f>
        <v>50</v>
      </c>
    </row>
    <row r="82" spans="1:7" x14ac:dyDescent="0.4">
      <c r="A82" s="1" t="s">
        <v>391</v>
      </c>
      <c r="B82" t="s">
        <v>233</v>
      </c>
      <c r="C82" t="s">
        <v>234</v>
      </c>
      <c r="D82" t="s">
        <v>276</v>
      </c>
      <c r="E82" s="2">
        <v>0.1</v>
      </c>
      <c r="F82">
        <v>5</v>
      </c>
      <c r="G82">
        <f t="shared" ref="G82:G88" si="2">E82*F82*100</f>
        <v>50</v>
      </c>
    </row>
    <row r="83" spans="1:7" x14ac:dyDescent="0.4">
      <c r="A83" s="1" t="s">
        <v>391</v>
      </c>
      <c r="B83" t="s">
        <v>233</v>
      </c>
      <c r="C83" t="s">
        <v>234</v>
      </c>
      <c r="D83" t="s">
        <v>281</v>
      </c>
      <c r="E83" s="2">
        <v>0.15</v>
      </c>
      <c r="F83">
        <v>5</v>
      </c>
      <c r="G83">
        <f t="shared" si="2"/>
        <v>75</v>
      </c>
    </row>
    <row r="84" spans="1:7" x14ac:dyDescent="0.4">
      <c r="A84" s="1" t="s">
        <v>391</v>
      </c>
      <c r="B84" t="s">
        <v>233</v>
      </c>
      <c r="C84" t="s">
        <v>234</v>
      </c>
      <c r="D84" t="s">
        <v>382</v>
      </c>
      <c r="E84" s="2">
        <v>0.15</v>
      </c>
      <c r="F84">
        <v>5</v>
      </c>
      <c r="G84">
        <f t="shared" si="2"/>
        <v>75</v>
      </c>
    </row>
    <row r="85" spans="1:7" x14ac:dyDescent="0.4">
      <c r="A85" s="1" t="s">
        <v>391</v>
      </c>
      <c r="B85" t="s">
        <v>285</v>
      </c>
      <c r="C85" t="s">
        <v>286</v>
      </c>
      <c r="D85" t="s">
        <v>288</v>
      </c>
      <c r="E85" s="2">
        <v>0.3</v>
      </c>
      <c r="F85">
        <v>5</v>
      </c>
      <c r="G85">
        <f t="shared" si="2"/>
        <v>150</v>
      </c>
    </row>
    <row r="86" spans="1:7" x14ac:dyDescent="0.4">
      <c r="A86" s="1" t="s">
        <v>391</v>
      </c>
      <c r="B86" t="s">
        <v>285</v>
      </c>
      <c r="C86" t="s">
        <v>286</v>
      </c>
      <c r="D86" t="s">
        <v>297</v>
      </c>
      <c r="E86" s="2">
        <v>0.3</v>
      </c>
      <c r="F86">
        <v>5</v>
      </c>
      <c r="G86">
        <f t="shared" si="2"/>
        <v>150</v>
      </c>
    </row>
    <row r="87" spans="1:7" x14ac:dyDescent="0.4">
      <c r="A87" s="1" t="s">
        <v>391</v>
      </c>
      <c r="B87" t="s">
        <v>285</v>
      </c>
      <c r="C87" t="s">
        <v>286</v>
      </c>
      <c r="D87" t="s">
        <v>344</v>
      </c>
      <c r="E87" s="2">
        <v>0.4</v>
      </c>
      <c r="F87">
        <v>5</v>
      </c>
      <c r="G87">
        <f t="shared" si="2"/>
        <v>200</v>
      </c>
    </row>
    <row r="88" spans="1:7" x14ac:dyDescent="0.4">
      <c r="A88" s="1" t="s">
        <v>391</v>
      </c>
      <c r="B88" t="s">
        <v>356</v>
      </c>
      <c r="C88" t="s">
        <v>357</v>
      </c>
      <c r="D88" t="s">
        <v>359</v>
      </c>
      <c r="E88" s="2">
        <v>0.3</v>
      </c>
      <c r="F88">
        <v>5</v>
      </c>
      <c r="G88">
        <f t="shared" si="2"/>
        <v>150</v>
      </c>
    </row>
    <row r="89" spans="1:7" x14ac:dyDescent="0.4">
      <c r="A89" s="1" t="s">
        <v>391</v>
      </c>
      <c r="B89" t="s">
        <v>356</v>
      </c>
      <c r="C89" t="s">
        <v>357</v>
      </c>
      <c r="D89" t="s">
        <v>366</v>
      </c>
      <c r="E89" s="2">
        <v>0.3</v>
      </c>
      <c r="F89">
        <v>5</v>
      </c>
      <c r="G89">
        <f>E89*F89*100</f>
        <v>150</v>
      </c>
    </row>
    <row r="90" spans="1:7" x14ac:dyDescent="0.4">
      <c r="A90" s="1" t="s">
        <v>391</v>
      </c>
      <c r="B90" t="s">
        <v>356</v>
      </c>
      <c r="C90" t="s">
        <v>357</v>
      </c>
      <c r="D90" t="s">
        <v>371</v>
      </c>
      <c r="E90" s="2">
        <v>0.4</v>
      </c>
      <c r="F90">
        <v>5</v>
      </c>
      <c r="G90">
        <f t="shared" ref="G90" si="3">E90*F90*100</f>
        <v>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74407C-5321-CC45-BD44-A6C4DC6152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SCORE</vt:lpstr>
      <vt:lpstr>HITUNG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Triana Rumapea</dc:creator>
  <cp:lastModifiedBy>Parman</cp:lastModifiedBy>
  <dcterms:created xsi:type="dcterms:W3CDTF">2026-03-02T07:23:40Z</dcterms:created>
  <dcterms:modified xsi:type="dcterms:W3CDTF">2026-03-02T16:58:17Z</dcterms:modified>
</cp:coreProperties>
</file>